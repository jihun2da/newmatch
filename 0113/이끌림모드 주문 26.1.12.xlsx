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F982952-2F72-4216-9938-D3CF34A1DAF0}" xr6:coauthVersionLast="47" xr6:coauthVersionMax="47" xr10:uidLastSave="{00000000-0000-0000-0000-000000000000}"/>
  <bookViews>
    <workbookView xWindow="7755" yWindow="2745" windowWidth="17520" windowHeight="10890" xr2:uid="{00000000-000D-0000-FFFF-FFFF00000000}"/>
  </bookViews>
  <sheets>
    <sheet name="Sheet1" sheetId="4" r:id="rId1"/>
    <sheet name="발주발송관리" sheetId="1" r:id="rId2"/>
    <sheet name="발주서" sheetId="2" r:id="rId3"/>
    <sheet name="지역명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2" i="2"/>
  <c r="O3" i="2" l="1"/>
  <c r="S3" i="2" s="1"/>
  <c r="O4" i="2"/>
  <c r="S4" i="2" s="1"/>
  <c r="O5" i="2"/>
  <c r="S5" i="2" s="1"/>
  <c r="O6" i="2"/>
  <c r="S6" i="2" s="1"/>
  <c r="O7" i="2"/>
  <c r="S7" i="2" s="1"/>
  <c r="O8" i="2"/>
  <c r="S8" i="2" s="1"/>
  <c r="O9" i="2"/>
  <c r="S9" i="2" s="1"/>
  <c r="O10" i="2"/>
  <c r="S10" i="2" s="1"/>
  <c r="O11" i="2"/>
  <c r="S11" i="2" s="1"/>
  <c r="O12" i="2"/>
  <c r="S12" i="2" s="1"/>
  <c r="O13" i="2"/>
  <c r="S13" i="2" s="1"/>
  <c r="O14" i="2"/>
  <c r="S14" i="2" s="1"/>
  <c r="O15" i="2"/>
  <c r="S15" i="2" s="1"/>
  <c r="O16" i="2"/>
  <c r="S16" i="2" s="1"/>
  <c r="O17" i="2"/>
  <c r="S17" i="2" s="1"/>
  <c r="O18" i="2"/>
  <c r="S18" i="2" s="1"/>
  <c r="O19" i="2"/>
  <c r="S19" i="2" s="1"/>
  <c r="O20" i="2"/>
  <c r="S20" i="2" s="1"/>
  <c r="O21" i="2"/>
  <c r="S21" i="2" s="1"/>
  <c r="O22" i="2"/>
  <c r="S22" i="2" s="1"/>
  <c r="O23" i="2"/>
  <c r="S23" i="2" s="1"/>
  <c r="O24" i="2"/>
  <c r="S24" i="2" s="1"/>
  <c r="O25" i="2"/>
  <c r="S25" i="2" s="1"/>
  <c r="O26" i="2"/>
  <c r="S26" i="2" s="1"/>
  <c r="O27" i="2"/>
  <c r="S27" i="2" s="1"/>
  <c r="O28" i="2"/>
  <c r="S28" i="2" s="1"/>
  <c r="O29" i="2"/>
  <c r="S29" i="2" s="1"/>
  <c r="O30" i="2"/>
  <c r="S30" i="2" s="1"/>
  <c r="O31" i="2"/>
  <c r="S31" i="2" s="1"/>
  <c r="O32" i="2"/>
  <c r="S32" i="2" s="1"/>
  <c r="O33" i="2"/>
  <c r="S33" i="2" s="1"/>
  <c r="O34" i="2"/>
  <c r="S34" i="2" s="1"/>
  <c r="O35" i="2"/>
  <c r="S35" i="2" s="1"/>
  <c r="O36" i="2"/>
  <c r="S36" i="2" s="1"/>
  <c r="O37" i="2"/>
  <c r="S37" i="2" s="1"/>
  <c r="O38" i="2"/>
  <c r="S38" i="2" s="1"/>
  <c r="O39" i="2"/>
  <c r="S39" i="2" s="1"/>
  <c r="O40" i="2"/>
  <c r="S40" i="2" s="1"/>
  <c r="O41" i="2"/>
  <c r="S41" i="2" s="1"/>
  <c r="O42" i="2"/>
  <c r="S42" i="2" s="1"/>
  <c r="O43" i="2"/>
  <c r="S43" i="2" s="1"/>
  <c r="O44" i="2"/>
  <c r="S44" i="2" s="1"/>
  <c r="O45" i="2"/>
  <c r="S45" i="2" s="1"/>
  <c r="O46" i="2"/>
  <c r="S46" i="2" s="1"/>
  <c r="O47" i="2"/>
  <c r="S47" i="2" s="1"/>
  <c r="O48" i="2"/>
  <c r="S48" i="2" s="1"/>
  <c r="O49" i="2"/>
  <c r="S49" i="2" s="1"/>
  <c r="O50" i="2"/>
  <c r="S50" i="2" s="1"/>
  <c r="O51" i="2"/>
  <c r="S51" i="2" s="1"/>
  <c r="O52" i="2"/>
  <c r="S52" i="2" s="1"/>
  <c r="O53" i="2"/>
  <c r="S53" i="2" s="1"/>
  <c r="O54" i="2"/>
  <c r="S54" i="2" s="1"/>
  <c r="O55" i="2"/>
  <c r="S55" i="2" s="1"/>
  <c r="O56" i="2"/>
  <c r="S56" i="2" s="1"/>
  <c r="O57" i="2"/>
  <c r="S57" i="2" s="1"/>
  <c r="O58" i="2"/>
  <c r="S58" i="2" s="1"/>
  <c r="O59" i="2"/>
  <c r="S59" i="2" s="1"/>
  <c r="O60" i="2"/>
  <c r="S60" i="2" s="1"/>
  <c r="O61" i="2"/>
  <c r="S61" i="2" s="1"/>
  <c r="O62" i="2"/>
  <c r="S62" i="2" s="1"/>
  <c r="O63" i="2"/>
  <c r="S63" i="2" s="1"/>
  <c r="O64" i="2"/>
  <c r="S64" i="2" s="1"/>
  <c r="O65" i="2"/>
  <c r="S65" i="2" s="1"/>
  <c r="O66" i="2"/>
  <c r="S66" i="2" s="1"/>
  <c r="O67" i="2"/>
  <c r="S67" i="2" s="1"/>
  <c r="O68" i="2"/>
  <c r="S68" i="2" s="1"/>
  <c r="O69" i="2"/>
  <c r="S69" i="2" s="1"/>
  <c r="O70" i="2"/>
  <c r="S70" i="2" s="1"/>
  <c r="O71" i="2"/>
  <c r="S71" i="2" s="1"/>
  <c r="O72" i="2"/>
  <c r="S72" i="2" s="1"/>
  <c r="O73" i="2"/>
  <c r="S73" i="2" s="1"/>
  <c r="O74" i="2"/>
  <c r="S74" i="2" s="1"/>
  <c r="O75" i="2"/>
  <c r="S75" i="2" s="1"/>
  <c r="O76" i="2"/>
  <c r="S76" i="2" s="1"/>
  <c r="O77" i="2"/>
  <c r="S77" i="2" s="1"/>
  <c r="O78" i="2"/>
  <c r="S78" i="2" s="1"/>
  <c r="O79" i="2"/>
  <c r="S79" i="2" s="1"/>
  <c r="O80" i="2"/>
  <c r="S80" i="2" s="1"/>
  <c r="O81" i="2"/>
  <c r="S81" i="2" s="1"/>
  <c r="O82" i="2"/>
  <c r="S82" i="2" s="1"/>
  <c r="O83" i="2"/>
  <c r="S83" i="2" s="1"/>
  <c r="O84" i="2"/>
  <c r="S84" i="2" s="1"/>
  <c r="O85" i="2"/>
  <c r="S85" i="2" s="1"/>
  <c r="O86" i="2"/>
  <c r="S86" i="2" s="1"/>
  <c r="O87" i="2"/>
  <c r="S87" i="2" s="1"/>
  <c r="O88" i="2"/>
  <c r="S88" i="2" s="1"/>
  <c r="O89" i="2"/>
  <c r="S89" i="2" s="1"/>
  <c r="O90" i="2"/>
  <c r="S90" i="2" s="1"/>
  <c r="O91" i="2"/>
  <c r="S91" i="2" s="1"/>
  <c r="O92" i="2"/>
  <c r="S92" i="2" s="1"/>
  <c r="O93" i="2"/>
  <c r="S93" i="2" s="1"/>
  <c r="O94" i="2"/>
  <c r="S94" i="2" s="1"/>
  <c r="O95" i="2"/>
  <c r="S95" i="2" s="1"/>
  <c r="O96" i="2"/>
  <c r="S96" i="2" s="1"/>
  <c r="O97" i="2"/>
  <c r="S97" i="2" s="1"/>
  <c r="O98" i="2"/>
  <c r="S98" i="2" s="1"/>
  <c r="O99" i="2"/>
  <c r="S99" i="2" s="1"/>
  <c r="O100" i="2"/>
  <c r="S100" i="2" s="1"/>
  <c r="O101" i="2"/>
  <c r="S101" i="2" s="1"/>
  <c r="O102" i="2"/>
  <c r="S102" i="2" s="1"/>
  <c r="O103" i="2"/>
  <c r="S103" i="2" s="1"/>
  <c r="O104" i="2"/>
  <c r="S104" i="2" s="1"/>
  <c r="O105" i="2"/>
  <c r="S105" i="2" s="1"/>
  <c r="O106" i="2"/>
  <c r="S106" i="2" s="1"/>
  <c r="O107" i="2"/>
  <c r="S107" i="2" s="1"/>
  <c r="O108" i="2"/>
  <c r="S108" i="2" s="1"/>
  <c r="O109" i="2"/>
  <c r="S109" i="2" s="1"/>
  <c r="O110" i="2"/>
  <c r="S110" i="2" s="1"/>
  <c r="O111" i="2"/>
  <c r="S111" i="2" s="1"/>
  <c r="O112" i="2"/>
  <c r="S112" i="2" s="1"/>
  <c r="O113" i="2"/>
  <c r="S113" i="2" s="1"/>
  <c r="O114" i="2"/>
  <c r="S114" i="2" s="1"/>
  <c r="O115" i="2"/>
  <c r="S115" i="2" s="1"/>
  <c r="O116" i="2"/>
  <c r="S116" i="2" s="1"/>
  <c r="O117" i="2"/>
  <c r="S117" i="2" s="1"/>
  <c r="O118" i="2"/>
  <c r="S118" i="2" s="1"/>
  <c r="O119" i="2"/>
  <c r="S119" i="2" s="1"/>
  <c r="O120" i="2"/>
  <c r="S120" i="2" s="1"/>
  <c r="O121" i="2"/>
  <c r="S121" i="2" s="1"/>
  <c r="O122" i="2"/>
  <c r="S122" i="2" s="1"/>
  <c r="O123" i="2"/>
  <c r="S123" i="2" s="1"/>
  <c r="O124" i="2"/>
  <c r="S124" i="2" s="1"/>
  <c r="O125" i="2"/>
  <c r="S125" i="2" s="1"/>
  <c r="O126" i="2"/>
  <c r="S126" i="2" s="1"/>
  <c r="O127" i="2"/>
  <c r="S127" i="2" s="1"/>
  <c r="O128" i="2"/>
  <c r="S128" i="2" s="1"/>
  <c r="O129" i="2"/>
  <c r="S129" i="2" s="1"/>
  <c r="O130" i="2"/>
  <c r="S130" i="2" s="1"/>
  <c r="O131" i="2"/>
  <c r="S131" i="2" s="1"/>
  <c r="O132" i="2"/>
  <c r="S132" i="2" s="1"/>
  <c r="O133" i="2"/>
  <c r="S133" i="2" s="1"/>
  <c r="O134" i="2"/>
  <c r="S134" i="2" s="1"/>
  <c r="O135" i="2"/>
  <c r="S135" i="2" s="1"/>
  <c r="O136" i="2"/>
  <c r="S136" i="2" s="1"/>
  <c r="O137" i="2"/>
  <c r="S137" i="2" s="1"/>
  <c r="O138" i="2"/>
  <c r="S138" i="2" s="1"/>
  <c r="O139" i="2"/>
  <c r="S139" i="2" s="1"/>
  <c r="O140" i="2"/>
  <c r="S140" i="2" s="1"/>
  <c r="O141" i="2"/>
  <c r="S141" i="2" s="1"/>
  <c r="O142" i="2"/>
  <c r="S142" i="2" s="1"/>
  <c r="O143" i="2"/>
  <c r="S143" i="2" s="1"/>
  <c r="O144" i="2"/>
  <c r="S144" i="2" s="1"/>
  <c r="O145" i="2"/>
  <c r="S145" i="2" s="1"/>
  <c r="O146" i="2"/>
  <c r="S146" i="2" s="1"/>
  <c r="O147" i="2"/>
  <c r="S147" i="2" s="1"/>
  <c r="O148" i="2"/>
  <c r="S148" i="2" s="1"/>
  <c r="O149" i="2"/>
  <c r="S149" i="2" s="1"/>
  <c r="O150" i="2"/>
  <c r="S150" i="2" s="1"/>
  <c r="O151" i="2"/>
  <c r="S151" i="2" s="1"/>
  <c r="O152" i="2"/>
  <c r="S152" i="2" s="1"/>
  <c r="O153" i="2"/>
  <c r="S153" i="2" s="1"/>
  <c r="O154" i="2"/>
  <c r="S154" i="2" s="1"/>
  <c r="O155" i="2"/>
  <c r="S155" i="2" s="1"/>
  <c r="O156" i="2"/>
  <c r="S156" i="2" s="1"/>
  <c r="O157" i="2"/>
  <c r="S157" i="2" s="1"/>
  <c r="O158" i="2"/>
  <c r="S158" i="2" s="1"/>
  <c r="O159" i="2"/>
  <c r="S159" i="2" s="1"/>
  <c r="O160" i="2"/>
  <c r="S160" i="2" s="1"/>
  <c r="O161" i="2"/>
  <c r="S161" i="2" s="1"/>
  <c r="O162" i="2"/>
  <c r="S162" i="2" s="1"/>
  <c r="O163" i="2"/>
  <c r="S163" i="2" s="1"/>
  <c r="O164" i="2"/>
  <c r="S164" i="2" s="1"/>
  <c r="O165" i="2"/>
  <c r="S165" i="2" s="1"/>
  <c r="O166" i="2"/>
  <c r="S166" i="2" s="1"/>
  <c r="O167" i="2"/>
  <c r="S167" i="2" s="1"/>
  <c r="O168" i="2"/>
  <c r="S168" i="2" s="1"/>
  <c r="O169" i="2"/>
  <c r="S169" i="2" s="1"/>
  <c r="O170" i="2"/>
  <c r="S170" i="2" s="1"/>
  <c r="O171" i="2"/>
  <c r="S171" i="2" s="1"/>
  <c r="O172" i="2"/>
  <c r="S172" i="2" s="1"/>
  <c r="O173" i="2"/>
  <c r="S173" i="2" s="1"/>
  <c r="O174" i="2"/>
  <c r="S174" i="2" s="1"/>
  <c r="O175" i="2"/>
  <c r="S175" i="2" s="1"/>
  <c r="O176" i="2"/>
  <c r="S176" i="2" s="1"/>
  <c r="O177" i="2"/>
  <c r="S177" i="2" s="1"/>
  <c r="O178" i="2"/>
  <c r="S178" i="2" s="1"/>
  <c r="O179" i="2"/>
  <c r="S179" i="2" s="1"/>
  <c r="O180" i="2"/>
  <c r="S180" i="2" s="1"/>
  <c r="O181" i="2"/>
  <c r="S181" i="2" s="1"/>
  <c r="O182" i="2"/>
  <c r="S182" i="2" s="1"/>
  <c r="O183" i="2"/>
  <c r="S183" i="2" s="1"/>
  <c r="O184" i="2"/>
  <c r="S184" i="2" s="1"/>
  <c r="O185" i="2"/>
  <c r="S185" i="2" s="1"/>
  <c r="O186" i="2"/>
  <c r="S186" i="2" s="1"/>
  <c r="O187" i="2"/>
  <c r="S187" i="2" s="1"/>
  <c r="O188" i="2"/>
  <c r="S188" i="2" s="1"/>
  <c r="O189" i="2"/>
  <c r="S189" i="2" s="1"/>
  <c r="O190" i="2"/>
  <c r="S190" i="2" s="1"/>
  <c r="O191" i="2"/>
  <c r="S191" i="2" s="1"/>
  <c r="O192" i="2"/>
  <c r="S192" i="2" s="1"/>
  <c r="O193" i="2"/>
  <c r="S193" i="2" s="1"/>
  <c r="O194" i="2"/>
  <c r="S194" i="2" s="1"/>
  <c r="O195" i="2"/>
  <c r="S195" i="2" s="1"/>
  <c r="O196" i="2"/>
  <c r="S196" i="2" s="1"/>
  <c r="O197" i="2"/>
  <c r="S197" i="2" s="1"/>
  <c r="O198" i="2"/>
  <c r="S198" i="2" s="1"/>
  <c r="O199" i="2"/>
  <c r="S199" i="2" s="1"/>
  <c r="O200" i="2"/>
  <c r="S200" i="2" s="1"/>
  <c r="O201" i="2"/>
  <c r="S201" i="2" s="1"/>
  <c r="O202" i="2"/>
  <c r="S202" i="2" s="1"/>
  <c r="O203" i="2"/>
  <c r="S203" i="2" s="1"/>
  <c r="O204" i="2"/>
  <c r="S204" i="2" s="1"/>
  <c r="O205" i="2"/>
  <c r="S205" i="2" s="1"/>
  <c r="O206" i="2"/>
  <c r="S206" i="2" s="1"/>
  <c r="O207" i="2"/>
  <c r="S207" i="2" s="1"/>
  <c r="O208" i="2"/>
  <c r="S208" i="2" s="1"/>
  <c r="O209" i="2"/>
  <c r="S209" i="2" s="1"/>
  <c r="O210" i="2"/>
  <c r="S210" i="2" s="1"/>
  <c r="O211" i="2"/>
  <c r="S211" i="2" s="1"/>
  <c r="O212" i="2"/>
  <c r="S212" i="2" s="1"/>
  <c r="O213" i="2"/>
  <c r="S213" i="2" s="1"/>
  <c r="O214" i="2"/>
  <c r="S214" i="2" s="1"/>
  <c r="O215" i="2"/>
  <c r="S215" i="2" s="1"/>
  <c r="O216" i="2"/>
  <c r="S216" i="2" s="1"/>
  <c r="O217" i="2"/>
  <c r="S217" i="2" s="1"/>
  <c r="O218" i="2"/>
  <c r="S218" i="2" s="1"/>
  <c r="O219" i="2"/>
  <c r="S219" i="2" s="1"/>
  <c r="O220" i="2"/>
  <c r="S220" i="2" s="1"/>
  <c r="O221" i="2"/>
  <c r="S221" i="2" s="1"/>
  <c r="O222" i="2"/>
  <c r="S222" i="2" s="1"/>
  <c r="O223" i="2"/>
  <c r="S223" i="2" s="1"/>
  <c r="O224" i="2"/>
  <c r="S224" i="2" s="1"/>
  <c r="O225" i="2"/>
  <c r="S225" i="2" s="1"/>
  <c r="O226" i="2"/>
  <c r="S226" i="2" s="1"/>
  <c r="O227" i="2"/>
  <c r="S227" i="2" s="1"/>
  <c r="O228" i="2"/>
  <c r="S228" i="2" s="1"/>
  <c r="O229" i="2"/>
  <c r="S229" i="2" s="1"/>
  <c r="O230" i="2"/>
  <c r="S230" i="2" s="1"/>
  <c r="O231" i="2"/>
  <c r="S231" i="2" s="1"/>
  <c r="O232" i="2"/>
  <c r="S232" i="2" s="1"/>
  <c r="O233" i="2"/>
  <c r="S233" i="2" s="1"/>
  <c r="O234" i="2"/>
  <c r="S234" i="2" s="1"/>
  <c r="O235" i="2"/>
  <c r="S235" i="2" s="1"/>
  <c r="O236" i="2"/>
  <c r="S236" i="2" s="1"/>
  <c r="O237" i="2"/>
  <c r="S237" i="2" s="1"/>
  <c r="O238" i="2"/>
  <c r="S238" i="2" s="1"/>
  <c r="O239" i="2"/>
  <c r="S239" i="2" s="1"/>
  <c r="O240" i="2"/>
  <c r="S240" i="2" s="1"/>
  <c r="O241" i="2"/>
  <c r="S241" i="2" s="1"/>
  <c r="O242" i="2"/>
  <c r="S242" i="2" s="1"/>
  <c r="O243" i="2"/>
  <c r="S243" i="2" s="1"/>
  <c r="O244" i="2"/>
  <c r="S244" i="2" s="1"/>
  <c r="O245" i="2"/>
  <c r="S245" i="2" s="1"/>
  <c r="O246" i="2"/>
  <c r="S246" i="2" s="1"/>
  <c r="O247" i="2"/>
  <c r="S247" i="2" s="1"/>
  <c r="O248" i="2"/>
  <c r="S248" i="2" s="1"/>
  <c r="O249" i="2"/>
  <c r="S249" i="2" s="1"/>
  <c r="O250" i="2"/>
  <c r="S250" i="2" s="1"/>
  <c r="O251" i="2"/>
  <c r="S251" i="2" s="1"/>
  <c r="O252" i="2"/>
  <c r="S252" i="2" s="1"/>
  <c r="O253" i="2"/>
  <c r="S253" i="2" s="1"/>
  <c r="O254" i="2"/>
  <c r="S254" i="2" s="1"/>
  <c r="O255" i="2"/>
  <c r="S255" i="2" s="1"/>
  <c r="O256" i="2"/>
  <c r="S256" i="2" s="1"/>
  <c r="O257" i="2"/>
  <c r="S257" i="2" s="1"/>
  <c r="O258" i="2"/>
  <c r="S258" i="2" s="1"/>
  <c r="O259" i="2"/>
  <c r="S259" i="2" s="1"/>
  <c r="O260" i="2"/>
  <c r="S260" i="2" s="1"/>
  <c r="O261" i="2"/>
  <c r="S261" i="2" s="1"/>
  <c r="O262" i="2"/>
  <c r="S262" i="2" s="1"/>
  <c r="O263" i="2"/>
  <c r="S263" i="2" s="1"/>
  <c r="O264" i="2"/>
  <c r="S264" i="2" s="1"/>
  <c r="O265" i="2"/>
  <c r="S265" i="2" s="1"/>
  <c r="O266" i="2"/>
  <c r="S266" i="2" s="1"/>
  <c r="O267" i="2"/>
  <c r="S267" i="2" s="1"/>
  <c r="O268" i="2"/>
  <c r="S268" i="2" s="1"/>
  <c r="O269" i="2"/>
  <c r="S269" i="2" s="1"/>
  <c r="O270" i="2"/>
  <c r="S270" i="2" s="1"/>
  <c r="O271" i="2"/>
  <c r="S271" i="2" s="1"/>
  <c r="O272" i="2"/>
  <c r="S272" i="2" s="1"/>
  <c r="O273" i="2"/>
  <c r="S273" i="2" s="1"/>
  <c r="O274" i="2"/>
  <c r="S274" i="2" s="1"/>
  <c r="O275" i="2"/>
  <c r="S275" i="2" s="1"/>
  <c r="O276" i="2"/>
  <c r="S276" i="2" s="1"/>
  <c r="O277" i="2"/>
  <c r="S277" i="2" s="1"/>
  <c r="O278" i="2"/>
  <c r="S278" i="2" s="1"/>
  <c r="O279" i="2"/>
  <c r="S279" i="2" s="1"/>
  <c r="O280" i="2"/>
  <c r="S280" i="2" s="1"/>
  <c r="O281" i="2"/>
  <c r="S281" i="2" s="1"/>
  <c r="O282" i="2"/>
  <c r="S282" i="2" s="1"/>
  <c r="O283" i="2"/>
  <c r="S283" i="2" s="1"/>
  <c r="O284" i="2"/>
  <c r="S284" i="2" s="1"/>
  <c r="O285" i="2"/>
  <c r="S285" i="2" s="1"/>
  <c r="O286" i="2"/>
  <c r="S286" i="2" s="1"/>
  <c r="O287" i="2"/>
  <c r="S287" i="2" s="1"/>
  <c r="O288" i="2"/>
  <c r="S288" i="2" s="1"/>
  <c r="O289" i="2"/>
  <c r="S289" i="2" s="1"/>
  <c r="O290" i="2"/>
  <c r="S290" i="2" s="1"/>
  <c r="O291" i="2"/>
  <c r="S291" i="2" s="1"/>
  <c r="O292" i="2"/>
  <c r="S292" i="2" s="1"/>
  <c r="O293" i="2"/>
  <c r="S293" i="2" s="1"/>
  <c r="O294" i="2"/>
  <c r="S294" i="2" s="1"/>
  <c r="O295" i="2"/>
  <c r="S295" i="2" s="1"/>
  <c r="O296" i="2"/>
  <c r="S296" i="2" s="1"/>
  <c r="O297" i="2"/>
  <c r="S297" i="2" s="1"/>
  <c r="O298" i="2"/>
  <c r="S298" i="2" s="1"/>
  <c r="O299" i="2"/>
  <c r="S299" i="2" s="1"/>
  <c r="O300" i="2"/>
  <c r="S300" i="2" s="1"/>
  <c r="O301" i="2"/>
  <c r="S301" i="2" s="1"/>
  <c r="O302" i="2"/>
  <c r="S302" i="2" s="1"/>
  <c r="O303" i="2"/>
  <c r="S303" i="2" s="1"/>
  <c r="O304" i="2"/>
  <c r="S304" i="2" s="1"/>
  <c r="O305" i="2"/>
  <c r="S305" i="2" s="1"/>
  <c r="O306" i="2"/>
  <c r="S306" i="2" s="1"/>
  <c r="O307" i="2"/>
  <c r="S307" i="2" s="1"/>
  <c r="O308" i="2"/>
  <c r="S308" i="2" s="1"/>
  <c r="O309" i="2"/>
  <c r="S309" i="2" s="1"/>
  <c r="O310" i="2"/>
  <c r="S310" i="2" s="1"/>
  <c r="O311" i="2"/>
  <c r="S311" i="2" s="1"/>
  <c r="O312" i="2"/>
  <c r="S312" i="2" s="1"/>
  <c r="O313" i="2"/>
  <c r="S313" i="2" s="1"/>
  <c r="O314" i="2"/>
  <c r="S314" i="2" s="1"/>
  <c r="O315" i="2"/>
  <c r="S315" i="2" s="1"/>
  <c r="O316" i="2"/>
  <c r="S316" i="2" s="1"/>
  <c r="O317" i="2"/>
  <c r="S317" i="2" s="1"/>
  <c r="O318" i="2"/>
  <c r="S318" i="2" s="1"/>
  <c r="O319" i="2"/>
  <c r="S319" i="2" s="1"/>
  <c r="O320" i="2"/>
  <c r="S320" i="2" s="1"/>
  <c r="O321" i="2"/>
  <c r="S321" i="2" s="1"/>
  <c r="O322" i="2"/>
  <c r="S322" i="2" s="1"/>
  <c r="O323" i="2"/>
  <c r="S323" i="2" s="1"/>
  <c r="O324" i="2"/>
  <c r="S324" i="2" s="1"/>
  <c r="O325" i="2"/>
  <c r="S325" i="2" s="1"/>
  <c r="O326" i="2"/>
  <c r="S326" i="2" s="1"/>
  <c r="O327" i="2"/>
  <c r="S327" i="2" s="1"/>
  <c r="O328" i="2"/>
  <c r="S328" i="2" s="1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2" i="2"/>
  <c r="S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2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2" i="2"/>
  <c r="M393" i="2" l="1"/>
  <c r="C393" i="2" s="1"/>
  <c r="M394" i="2"/>
  <c r="C394" i="2" s="1"/>
  <c r="M395" i="2"/>
  <c r="C395" i="2" s="1"/>
  <c r="M396" i="2"/>
  <c r="C396" i="2" s="1"/>
  <c r="M397" i="2"/>
  <c r="C397" i="2" s="1"/>
  <c r="M398" i="2"/>
  <c r="C398" i="2" s="1"/>
  <c r="M399" i="2"/>
  <c r="C399" i="2" s="1"/>
  <c r="M400" i="2"/>
  <c r="C400" i="2" s="1"/>
  <c r="M401" i="2"/>
  <c r="C401" i="2" s="1"/>
  <c r="M402" i="2"/>
  <c r="C402" i="2" s="1"/>
  <c r="M288" i="2" l="1"/>
  <c r="C288" i="2" s="1"/>
  <c r="M289" i="2"/>
  <c r="C289" i="2" s="1"/>
  <c r="M290" i="2"/>
  <c r="C290" i="2" s="1"/>
  <c r="M291" i="2"/>
  <c r="C291" i="2" s="1"/>
  <c r="M292" i="2"/>
  <c r="C292" i="2" s="1"/>
  <c r="M293" i="2"/>
  <c r="C293" i="2" s="1"/>
  <c r="M294" i="2"/>
  <c r="C294" i="2" s="1"/>
  <c r="M295" i="2"/>
  <c r="C295" i="2" s="1"/>
  <c r="M296" i="2"/>
  <c r="C296" i="2" s="1"/>
  <c r="M297" i="2"/>
  <c r="C297" i="2" s="1"/>
  <c r="M298" i="2"/>
  <c r="C298" i="2" s="1"/>
  <c r="M299" i="2"/>
  <c r="C299" i="2" s="1"/>
  <c r="M300" i="2"/>
  <c r="C300" i="2" s="1"/>
  <c r="M301" i="2"/>
  <c r="C301" i="2" s="1"/>
  <c r="M302" i="2"/>
  <c r="C302" i="2" s="1"/>
  <c r="M303" i="2"/>
  <c r="C303" i="2" s="1"/>
  <c r="M304" i="2"/>
  <c r="C304" i="2" s="1"/>
  <c r="M305" i="2"/>
  <c r="C305" i="2" s="1"/>
  <c r="M306" i="2"/>
  <c r="C306" i="2" s="1"/>
  <c r="M307" i="2"/>
  <c r="C307" i="2" s="1"/>
  <c r="M308" i="2"/>
  <c r="C308" i="2" s="1"/>
  <c r="M309" i="2"/>
  <c r="C309" i="2" s="1"/>
  <c r="M310" i="2"/>
  <c r="C310" i="2" s="1"/>
  <c r="M311" i="2"/>
  <c r="C311" i="2" s="1"/>
  <c r="M312" i="2"/>
  <c r="C312" i="2" s="1"/>
  <c r="M313" i="2"/>
  <c r="C313" i="2" s="1"/>
  <c r="M314" i="2"/>
  <c r="C314" i="2" s="1"/>
  <c r="M315" i="2"/>
  <c r="C315" i="2" s="1"/>
  <c r="M316" i="2"/>
  <c r="C316" i="2" s="1"/>
  <c r="M317" i="2"/>
  <c r="C317" i="2" s="1"/>
  <c r="M318" i="2"/>
  <c r="C318" i="2" s="1"/>
  <c r="M319" i="2"/>
  <c r="C319" i="2" s="1"/>
  <c r="M320" i="2"/>
  <c r="C320" i="2" s="1"/>
  <c r="M321" i="2"/>
  <c r="C321" i="2" s="1"/>
  <c r="M322" i="2"/>
  <c r="C322" i="2" s="1"/>
  <c r="M323" i="2"/>
  <c r="C323" i="2" s="1"/>
  <c r="M324" i="2"/>
  <c r="C324" i="2" s="1"/>
  <c r="M325" i="2"/>
  <c r="C325" i="2" s="1"/>
  <c r="M326" i="2"/>
  <c r="C326" i="2" s="1"/>
  <c r="M327" i="2"/>
  <c r="C327" i="2" s="1"/>
  <c r="M328" i="2"/>
  <c r="C328" i="2" s="1"/>
  <c r="M329" i="2"/>
  <c r="C329" i="2" s="1"/>
  <c r="M330" i="2"/>
  <c r="C330" i="2" s="1"/>
  <c r="M331" i="2"/>
  <c r="C331" i="2" s="1"/>
  <c r="M332" i="2"/>
  <c r="C332" i="2" s="1"/>
  <c r="M333" i="2"/>
  <c r="C333" i="2" s="1"/>
  <c r="M334" i="2"/>
  <c r="C334" i="2" s="1"/>
  <c r="M335" i="2"/>
  <c r="C335" i="2" s="1"/>
  <c r="M336" i="2"/>
  <c r="C336" i="2" s="1"/>
  <c r="M337" i="2"/>
  <c r="C337" i="2" s="1"/>
  <c r="M338" i="2"/>
  <c r="C338" i="2" s="1"/>
  <c r="M339" i="2"/>
  <c r="C339" i="2" s="1"/>
  <c r="M340" i="2"/>
  <c r="C340" i="2" s="1"/>
  <c r="M341" i="2"/>
  <c r="C341" i="2" s="1"/>
  <c r="M342" i="2"/>
  <c r="C342" i="2" s="1"/>
  <c r="M343" i="2"/>
  <c r="C343" i="2" s="1"/>
  <c r="M344" i="2"/>
  <c r="C344" i="2" s="1"/>
  <c r="M345" i="2"/>
  <c r="C345" i="2" s="1"/>
  <c r="M346" i="2"/>
  <c r="C346" i="2" s="1"/>
  <c r="M347" i="2"/>
  <c r="C347" i="2" s="1"/>
  <c r="M348" i="2"/>
  <c r="C348" i="2" s="1"/>
  <c r="M349" i="2"/>
  <c r="C349" i="2" s="1"/>
  <c r="M350" i="2"/>
  <c r="C350" i="2" s="1"/>
  <c r="M351" i="2"/>
  <c r="C351" i="2" s="1"/>
  <c r="M352" i="2"/>
  <c r="C352" i="2" s="1"/>
  <c r="M353" i="2"/>
  <c r="C353" i="2" s="1"/>
  <c r="M354" i="2"/>
  <c r="C354" i="2" s="1"/>
  <c r="M355" i="2"/>
  <c r="C355" i="2" s="1"/>
  <c r="M356" i="2"/>
  <c r="C356" i="2" s="1"/>
  <c r="M357" i="2"/>
  <c r="C357" i="2" s="1"/>
  <c r="M358" i="2"/>
  <c r="C358" i="2" s="1"/>
  <c r="M359" i="2"/>
  <c r="C359" i="2" s="1"/>
  <c r="M360" i="2"/>
  <c r="C360" i="2" s="1"/>
  <c r="M361" i="2"/>
  <c r="C361" i="2" s="1"/>
  <c r="M362" i="2"/>
  <c r="C362" i="2" s="1"/>
  <c r="M363" i="2"/>
  <c r="C363" i="2" s="1"/>
  <c r="M364" i="2"/>
  <c r="C364" i="2" s="1"/>
  <c r="M365" i="2"/>
  <c r="C365" i="2" s="1"/>
  <c r="M366" i="2"/>
  <c r="C366" i="2" s="1"/>
  <c r="M367" i="2"/>
  <c r="C367" i="2" s="1"/>
  <c r="M368" i="2"/>
  <c r="C368" i="2" s="1"/>
  <c r="M369" i="2"/>
  <c r="C369" i="2" s="1"/>
  <c r="M370" i="2"/>
  <c r="C370" i="2" s="1"/>
  <c r="M371" i="2"/>
  <c r="C371" i="2" s="1"/>
  <c r="M372" i="2"/>
  <c r="C372" i="2" s="1"/>
  <c r="M373" i="2"/>
  <c r="C373" i="2" s="1"/>
  <c r="M374" i="2"/>
  <c r="C374" i="2" s="1"/>
  <c r="M375" i="2"/>
  <c r="C375" i="2" s="1"/>
  <c r="M376" i="2"/>
  <c r="C376" i="2" s="1"/>
  <c r="M377" i="2"/>
  <c r="C377" i="2" s="1"/>
  <c r="M378" i="2"/>
  <c r="C378" i="2" s="1"/>
  <c r="M379" i="2"/>
  <c r="C379" i="2" s="1"/>
  <c r="M380" i="2"/>
  <c r="C380" i="2" s="1"/>
  <c r="M381" i="2"/>
  <c r="C381" i="2" s="1"/>
  <c r="M382" i="2"/>
  <c r="C382" i="2" s="1"/>
  <c r="M383" i="2"/>
  <c r="C383" i="2" s="1"/>
  <c r="M384" i="2"/>
  <c r="C384" i="2" s="1"/>
  <c r="M385" i="2"/>
  <c r="C385" i="2" s="1"/>
  <c r="M386" i="2"/>
  <c r="C386" i="2" s="1"/>
  <c r="M387" i="2"/>
  <c r="C387" i="2" s="1"/>
  <c r="M388" i="2"/>
  <c r="C388" i="2" s="1"/>
  <c r="M389" i="2"/>
  <c r="C389" i="2" s="1"/>
  <c r="M390" i="2"/>
  <c r="C390" i="2" s="1"/>
  <c r="M391" i="2"/>
  <c r="C391" i="2" s="1"/>
  <c r="M392" i="2"/>
  <c r="C392" i="2" s="1"/>
  <c r="M186" i="2" l="1"/>
  <c r="C186" i="2" s="1"/>
  <c r="M187" i="2"/>
  <c r="C187" i="2" s="1"/>
  <c r="M188" i="2"/>
  <c r="C188" i="2" s="1"/>
  <c r="M189" i="2"/>
  <c r="C189" i="2" s="1"/>
  <c r="M190" i="2"/>
  <c r="C190" i="2" s="1"/>
  <c r="M191" i="2"/>
  <c r="C191" i="2" s="1"/>
  <c r="M192" i="2"/>
  <c r="C192" i="2" s="1"/>
  <c r="M193" i="2"/>
  <c r="C193" i="2" s="1"/>
  <c r="M194" i="2"/>
  <c r="C194" i="2" s="1"/>
  <c r="M195" i="2"/>
  <c r="C195" i="2" s="1"/>
  <c r="M196" i="2"/>
  <c r="C196" i="2" s="1"/>
  <c r="M197" i="2"/>
  <c r="C197" i="2" s="1"/>
  <c r="M198" i="2"/>
  <c r="C198" i="2" s="1"/>
  <c r="M199" i="2"/>
  <c r="C199" i="2" s="1"/>
  <c r="M200" i="2"/>
  <c r="C200" i="2" s="1"/>
  <c r="M201" i="2"/>
  <c r="C201" i="2" s="1"/>
  <c r="M202" i="2"/>
  <c r="C202" i="2" s="1"/>
  <c r="M203" i="2"/>
  <c r="C203" i="2" s="1"/>
  <c r="M204" i="2"/>
  <c r="C204" i="2" s="1"/>
  <c r="M205" i="2"/>
  <c r="C205" i="2" s="1"/>
  <c r="M206" i="2"/>
  <c r="C206" i="2" s="1"/>
  <c r="M207" i="2"/>
  <c r="C207" i="2" s="1"/>
  <c r="M208" i="2"/>
  <c r="C208" i="2" s="1"/>
  <c r="M209" i="2"/>
  <c r="C209" i="2" s="1"/>
  <c r="M210" i="2"/>
  <c r="C210" i="2" s="1"/>
  <c r="M211" i="2"/>
  <c r="C211" i="2" s="1"/>
  <c r="M212" i="2"/>
  <c r="C212" i="2" s="1"/>
  <c r="M213" i="2"/>
  <c r="C213" i="2" s="1"/>
  <c r="M214" i="2"/>
  <c r="C214" i="2" s="1"/>
  <c r="M215" i="2"/>
  <c r="C215" i="2" s="1"/>
  <c r="M216" i="2"/>
  <c r="C216" i="2" s="1"/>
  <c r="M217" i="2"/>
  <c r="C217" i="2" s="1"/>
  <c r="M218" i="2"/>
  <c r="C218" i="2" s="1"/>
  <c r="M219" i="2"/>
  <c r="C219" i="2" s="1"/>
  <c r="M220" i="2"/>
  <c r="C220" i="2" s="1"/>
  <c r="M221" i="2"/>
  <c r="C221" i="2" s="1"/>
  <c r="M222" i="2"/>
  <c r="C222" i="2" s="1"/>
  <c r="M223" i="2"/>
  <c r="C223" i="2" s="1"/>
  <c r="M224" i="2"/>
  <c r="C224" i="2" s="1"/>
  <c r="M225" i="2"/>
  <c r="C225" i="2" s="1"/>
  <c r="M226" i="2"/>
  <c r="C226" i="2" s="1"/>
  <c r="M227" i="2"/>
  <c r="C227" i="2" s="1"/>
  <c r="M228" i="2"/>
  <c r="C228" i="2" s="1"/>
  <c r="M229" i="2"/>
  <c r="C229" i="2" s="1"/>
  <c r="M230" i="2"/>
  <c r="C230" i="2" s="1"/>
  <c r="M231" i="2"/>
  <c r="C231" i="2" s="1"/>
  <c r="M232" i="2"/>
  <c r="C232" i="2" s="1"/>
  <c r="M233" i="2"/>
  <c r="C233" i="2" s="1"/>
  <c r="M234" i="2"/>
  <c r="C234" i="2" s="1"/>
  <c r="M235" i="2"/>
  <c r="C235" i="2" s="1"/>
  <c r="M236" i="2"/>
  <c r="C236" i="2" s="1"/>
  <c r="M237" i="2"/>
  <c r="C237" i="2" s="1"/>
  <c r="M238" i="2"/>
  <c r="C238" i="2" s="1"/>
  <c r="M239" i="2"/>
  <c r="C239" i="2" s="1"/>
  <c r="M240" i="2"/>
  <c r="C240" i="2" s="1"/>
  <c r="M241" i="2"/>
  <c r="C241" i="2" s="1"/>
  <c r="M242" i="2"/>
  <c r="C242" i="2" s="1"/>
  <c r="M243" i="2"/>
  <c r="C243" i="2" s="1"/>
  <c r="M244" i="2"/>
  <c r="C244" i="2" s="1"/>
  <c r="M245" i="2"/>
  <c r="C245" i="2" s="1"/>
  <c r="M246" i="2"/>
  <c r="C246" i="2" s="1"/>
  <c r="M247" i="2"/>
  <c r="C247" i="2" s="1"/>
  <c r="M248" i="2"/>
  <c r="C248" i="2" s="1"/>
  <c r="M249" i="2"/>
  <c r="C249" i="2" s="1"/>
  <c r="M250" i="2"/>
  <c r="C250" i="2" s="1"/>
  <c r="M251" i="2"/>
  <c r="C251" i="2" s="1"/>
  <c r="M252" i="2"/>
  <c r="C252" i="2" s="1"/>
  <c r="M253" i="2"/>
  <c r="C253" i="2" s="1"/>
  <c r="M254" i="2"/>
  <c r="C254" i="2" s="1"/>
  <c r="M255" i="2"/>
  <c r="C255" i="2" s="1"/>
  <c r="M256" i="2"/>
  <c r="C256" i="2" s="1"/>
  <c r="M257" i="2"/>
  <c r="C257" i="2" s="1"/>
  <c r="M258" i="2"/>
  <c r="C258" i="2" s="1"/>
  <c r="M259" i="2"/>
  <c r="C259" i="2" s="1"/>
  <c r="M260" i="2"/>
  <c r="C260" i="2" s="1"/>
  <c r="M261" i="2"/>
  <c r="C261" i="2" s="1"/>
  <c r="M262" i="2"/>
  <c r="C262" i="2" s="1"/>
  <c r="M263" i="2"/>
  <c r="C263" i="2" s="1"/>
  <c r="M264" i="2"/>
  <c r="C264" i="2" s="1"/>
  <c r="M265" i="2"/>
  <c r="C265" i="2" s="1"/>
  <c r="M266" i="2"/>
  <c r="C266" i="2" s="1"/>
  <c r="M267" i="2"/>
  <c r="C267" i="2" s="1"/>
  <c r="M268" i="2"/>
  <c r="C268" i="2" s="1"/>
  <c r="M269" i="2"/>
  <c r="C269" i="2" s="1"/>
  <c r="M270" i="2"/>
  <c r="C270" i="2" s="1"/>
  <c r="M271" i="2"/>
  <c r="C271" i="2" s="1"/>
  <c r="M272" i="2"/>
  <c r="C272" i="2" s="1"/>
  <c r="M273" i="2"/>
  <c r="C273" i="2" s="1"/>
  <c r="M274" i="2"/>
  <c r="C274" i="2" s="1"/>
  <c r="M275" i="2"/>
  <c r="C275" i="2" s="1"/>
  <c r="M276" i="2"/>
  <c r="C276" i="2" s="1"/>
  <c r="M277" i="2"/>
  <c r="C277" i="2" s="1"/>
  <c r="M278" i="2"/>
  <c r="C278" i="2" s="1"/>
  <c r="M279" i="2"/>
  <c r="C279" i="2" s="1"/>
  <c r="M280" i="2"/>
  <c r="C280" i="2" s="1"/>
  <c r="M281" i="2"/>
  <c r="C281" i="2" s="1"/>
  <c r="M282" i="2"/>
  <c r="C282" i="2" s="1"/>
  <c r="M283" i="2"/>
  <c r="C283" i="2" s="1"/>
  <c r="M284" i="2"/>
  <c r="C284" i="2" s="1"/>
  <c r="M285" i="2"/>
  <c r="C285" i="2" s="1"/>
  <c r="M286" i="2"/>
  <c r="C286" i="2" s="1"/>
  <c r="M287" i="2"/>
  <c r="C287" i="2" s="1"/>
  <c r="M185" i="2" l="1"/>
  <c r="C185" i="2" s="1"/>
  <c r="M183" i="2"/>
  <c r="C183" i="2" s="1"/>
  <c r="M184" i="2"/>
  <c r="C184" i="2" s="1"/>
  <c r="M179" i="2"/>
  <c r="C179" i="2" s="1"/>
  <c r="M182" i="2"/>
  <c r="C182" i="2" s="1"/>
  <c r="M178" i="2"/>
  <c r="C178" i="2" s="1"/>
  <c r="M180" i="2"/>
  <c r="C180" i="2" s="1"/>
  <c r="M181" i="2"/>
  <c r="C181" i="2" s="1"/>
  <c r="M172" i="2" l="1"/>
  <c r="C172" i="2" s="1"/>
  <c r="M173" i="2"/>
  <c r="C173" i="2" s="1"/>
  <c r="M174" i="2"/>
  <c r="C174" i="2" s="1"/>
  <c r="M175" i="2"/>
  <c r="C175" i="2" s="1"/>
  <c r="M176" i="2"/>
  <c r="C176" i="2" s="1"/>
  <c r="M177" i="2"/>
  <c r="C177" i="2" s="1"/>
  <c r="M169" i="2" l="1"/>
  <c r="C169" i="2" s="1"/>
  <c r="M163" i="2"/>
  <c r="C163" i="2" s="1"/>
  <c r="M159" i="2"/>
  <c r="C159" i="2" s="1"/>
  <c r="M155" i="2"/>
  <c r="C155" i="2" s="1"/>
  <c r="M151" i="2"/>
  <c r="C151" i="2" s="1"/>
  <c r="M147" i="2"/>
  <c r="C147" i="2" s="1"/>
  <c r="M143" i="2"/>
  <c r="C143" i="2" s="1"/>
  <c r="M139" i="2"/>
  <c r="C139" i="2" s="1"/>
  <c r="M135" i="2"/>
  <c r="C135" i="2" s="1"/>
  <c r="M170" i="2"/>
  <c r="C170" i="2" s="1"/>
  <c r="M162" i="2"/>
  <c r="C162" i="2" s="1"/>
  <c r="M171" i="2"/>
  <c r="C171" i="2" s="1"/>
  <c r="M167" i="2"/>
  <c r="C167" i="2" s="1"/>
  <c r="M165" i="2"/>
  <c r="C165" i="2" s="1"/>
  <c r="M161" i="2"/>
  <c r="C161" i="2" s="1"/>
  <c r="M157" i="2"/>
  <c r="C157" i="2" s="1"/>
  <c r="M153" i="2"/>
  <c r="C153" i="2" s="1"/>
  <c r="M149" i="2"/>
  <c r="C149" i="2" s="1"/>
  <c r="M145" i="2"/>
  <c r="C145" i="2" s="1"/>
  <c r="M141" i="2"/>
  <c r="C141" i="2" s="1"/>
  <c r="M137" i="2"/>
  <c r="C137" i="2" s="1"/>
  <c r="M168" i="2"/>
  <c r="C168" i="2" s="1"/>
  <c r="M166" i="2"/>
  <c r="C166" i="2" s="1"/>
  <c r="M164" i="2"/>
  <c r="C164" i="2" s="1"/>
  <c r="M160" i="2"/>
  <c r="C160" i="2" s="1"/>
  <c r="M158" i="2"/>
  <c r="C158" i="2" s="1"/>
  <c r="M156" i="2"/>
  <c r="C156" i="2" s="1"/>
  <c r="M154" i="2"/>
  <c r="C154" i="2" s="1"/>
  <c r="M152" i="2"/>
  <c r="C152" i="2" s="1"/>
  <c r="M150" i="2"/>
  <c r="C150" i="2" s="1"/>
  <c r="M148" i="2"/>
  <c r="C148" i="2" s="1"/>
  <c r="M146" i="2"/>
  <c r="C146" i="2" s="1"/>
  <c r="M144" i="2"/>
  <c r="C144" i="2" s="1"/>
  <c r="M142" i="2"/>
  <c r="C142" i="2" s="1"/>
  <c r="M140" i="2"/>
  <c r="C140" i="2" s="1"/>
  <c r="M138" i="2"/>
  <c r="C138" i="2" s="1"/>
  <c r="M136" i="2"/>
  <c r="C136" i="2" s="1"/>
  <c r="M134" i="2"/>
  <c r="C134" i="2" s="1"/>
  <c r="M132" i="2"/>
  <c r="C132" i="2" s="1"/>
  <c r="M130" i="2"/>
  <c r="C130" i="2" s="1"/>
  <c r="M128" i="2"/>
  <c r="C128" i="2" s="1"/>
  <c r="M126" i="2"/>
  <c r="C126" i="2" s="1"/>
  <c r="M133" i="2"/>
  <c r="C133" i="2" s="1"/>
  <c r="M129" i="2"/>
  <c r="C129" i="2" s="1"/>
  <c r="M127" i="2"/>
  <c r="C127" i="2" s="1"/>
  <c r="M131" i="2"/>
  <c r="C131" i="2" s="1"/>
  <c r="M125" i="2"/>
  <c r="C125" i="2" s="1"/>
  <c r="M124" i="2"/>
  <c r="C124" i="2" s="1"/>
  <c r="M122" i="2"/>
  <c r="C122" i="2" s="1"/>
  <c r="M121" i="2"/>
  <c r="C121" i="2" s="1"/>
  <c r="M120" i="2"/>
  <c r="C120" i="2" s="1"/>
  <c r="M119" i="2"/>
  <c r="C119" i="2" s="1"/>
  <c r="M118" i="2"/>
  <c r="C118" i="2" s="1"/>
  <c r="M117" i="2"/>
  <c r="C117" i="2" s="1"/>
  <c r="M123" i="2"/>
  <c r="C123" i="2" s="1"/>
  <c r="M116" i="2"/>
  <c r="C116" i="2" s="1"/>
  <c r="M110" i="2"/>
  <c r="C110" i="2" s="1"/>
  <c r="M102" i="2"/>
  <c r="C102" i="2" s="1"/>
  <c r="M96" i="2"/>
  <c r="C96" i="2" s="1"/>
  <c r="M93" i="2"/>
  <c r="C93" i="2" s="1"/>
  <c r="M91" i="2"/>
  <c r="C91" i="2" s="1"/>
  <c r="M85" i="2"/>
  <c r="C85" i="2" s="1"/>
  <c r="M78" i="2"/>
  <c r="C78" i="2" s="1"/>
  <c r="M70" i="2"/>
  <c r="C70" i="2" s="1"/>
  <c r="M66" i="2"/>
  <c r="C66" i="2" s="1"/>
  <c r="M60" i="2"/>
  <c r="C60" i="2" s="1"/>
  <c r="M57" i="2"/>
  <c r="C57" i="2" s="1"/>
  <c r="M55" i="2"/>
  <c r="C55" i="2" s="1"/>
  <c r="M51" i="2"/>
  <c r="C51" i="2" s="1"/>
  <c r="M48" i="2"/>
  <c r="C48" i="2" s="1"/>
  <c r="M46" i="2"/>
  <c r="C46" i="2" s="1"/>
  <c r="M114" i="2"/>
  <c r="C114" i="2" s="1"/>
  <c r="M112" i="2"/>
  <c r="C112" i="2" s="1"/>
  <c r="M108" i="2"/>
  <c r="C108" i="2" s="1"/>
  <c r="M106" i="2"/>
  <c r="C106" i="2" s="1"/>
  <c r="M104" i="2"/>
  <c r="C104" i="2" s="1"/>
  <c r="M100" i="2"/>
  <c r="C100" i="2" s="1"/>
  <c r="M98" i="2"/>
  <c r="C98" i="2" s="1"/>
  <c r="M94" i="2"/>
  <c r="C94" i="2" s="1"/>
  <c r="M89" i="2"/>
  <c r="C89" i="2" s="1"/>
  <c r="M87" i="2"/>
  <c r="C87" i="2" s="1"/>
  <c r="M83" i="2"/>
  <c r="C83" i="2" s="1"/>
  <c r="M80" i="2"/>
  <c r="C80" i="2" s="1"/>
  <c r="M79" i="2"/>
  <c r="C79" i="2" s="1"/>
  <c r="M76" i="2"/>
  <c r="C76" i="2" s="1"/>
  <c r="M73" i="2"/>
  <c r="C73" i="2" s="1"/>
  <c r="M72" i="2"/>
  <c r="C72" i="2" s="1"/>
  <c r="M68" i="2"/>
  <c r="C68" i="2" s="1"/>
  <c r="M64" i="2"/>
  <c r="C64" i="2" s="1"/>
  <c r="M62" i="2"/>
  <c r="C62" i="2" s="1"/>
  <c r="M53" i="2"/>
  <c r="C53" i="2" s="1"/>
  <c r="M50" i="2"/>
  <c r="C50" i="2" s="1"/>
  <c r="M44" i="2"/>
  <c r="C44" i="2" s="1"/>
  <c r="M115" i="2"/>
  <c r="C115" i="2" s="1"/>
  <c r="M113" i="2"/>
  <c r="C113" i="2" s="1"/>
  <c r="M111" i="2"/>
  <c r="C111" i="2" s="1"/>
  <c r="M109" i="2"/>
  <c r="C109" i="2" s="1"/>
  <c r="M107" i="2"/>
  <c r="C107" i="2" s="1"/>
  <c r="M105" i="2"/>
  <c r="C105" i="2" s="1"/>
  <c r="M103" i="2"/>
  <c r="C103" i="2" s="1"/>
  <c r="M101" i="2"/>
  <c r="C101" i="2" s="1"/>
  <c r="M99" i="2"/>
  <c r="C99" i="2" s="1"/>
  <c r="M97" i="2"/>
  <c r="C97" i="2" s="1"/>
  <c r="M95" i="2"/>
  <c r="C95" i="2" s="1"/>
  <c r="M92" i="2"/>
  <c r="C92" i="2" s="1"/>
  <c r="M90" i="2"/>
  <c r="C90" i="2" s="1"/>
  <c r="M88" i="2"/>
  <c r="C88" i="2" s="1"/>
  <c r="M86" i="2"/>
  <c r="C86" i="2" s="1"/>
  <c r="M84" i="2"/>
  <c r="C84" i="2" s="1"/>
  <c r="M82" i="2"/>
  <c r="C82" i="2" s="1"/>
  <c r="M81" i="2"/>
  <c r="C81" i="2" s="1"/>
  <c r="M77" i="2"/>
  <c r="C77" i="2" s="1"/>
  <c r="M75" i="2"/>
  <c r="C75" i="2" s="1"/>
  <c r="M74" i="2"/>
  <c r="C74" i="2" s="1"/>
  <c r="M71" i="2"/>
  <c r="C71" i="2" s="1"/>
  <c r="M69" i="2"/>
  <c r="C69" i="2" s="1"/>
  <c r="M67" i="2"/>
  <c r="C67" i="2" s="1"/>
  <c r="M65" i="2"/>
  <c r="C65" i="2" s="1"/>
  <c r="M63" i="2"/>
  <c r="C63" i="2" s="1"/>
  <c r="M61" i="2"/>
  <c r="C61" i="2" s="1"/>
  <c r="M59" i="2"/>
  <c r="C59" i="2" s="1"/>
  <c r="M58" i="2"/>
  <c r="C58" i="2" s="1"/>
  <c r="M56" i="2"/>
  <c r="C56" i="2" s="1"/>
  <c r="M54" i="2"/>
  <c r="C54" i="2" s="1"/>
  <c r="M52" i="2"/>
  <c r="C52" i="2" s="1"/>
  <c r="M49" i="2"/>
  <c r="C49" i="2" s="1"/>
  <c r="M47" i="2"/>
  <c r="C47" i="2" s="1"/>
  <c r="M45" i="2"/>
  <c r="C45" i="2" s="1"/>
  <c r="M43" i="2"/>
  <c r="C43" i="2" s="1"/>
  <c r="M38" i="2" l="1"/>
  <c r="C38" i="2" s="1"/>
  <c r="M40" i="2"/>
  <c r="C40" i="2" s="1"/>
  <c r="M39" i="2"/>
  <c r="C39" i="2" s="1"/>
  <c r="M42" i="2"/>
  <c r="C42" i="2" s="1"/>
  <c r="M41" i="2"/>
  <c r="C41" i="2" s="1"/>
  <c r="M23" i="2"/>
  <c r="C23" i="2" s="1"/>
  <c r="M24" i="2"/>
  <c r="C24" i="2" s="1"/>
  <c r="M25" i="2"/>
  <c r="C25" i="2" s="1"/>
  <c r="M26" i="2"/>
  <c r="C26" i="2" s="1"/>
  <c r="M27" i="2"/>
  <c r="C27" i="2" s="1"/>
  <c r="M28" i="2"/>
  <c r="C28" i="2" s="1"/>
  <c r="M2" i="2" l="1"/>
  <c r="M13" i="2" l="1"/>
  <c r="C13" i="2" s="1"/>
  <c r="M9" i="2"/>
  <c r="C9" i="2" s="1"/>
  <c r="M16" i="2"/>
  <c r="C16" i="2" s="1"/>
  <c r="M8" i="2"/>
  <c r="C8" i="2" s="1"/>
  <c r="M5" i="2"/>
  <c r="C5" i="2" s="1"/>
  <c r="M3" i="2"/>
  <c r="C3" i="2" s="1"/>
  <c r="M17" i="2"/>
  <c r="C17" i="2" s="1"/>
  <c r="M10" i="2"/>
  <c r="C10" i="2" s="1"/>
  <c r="M12" i="2"/>
  <c r="C12" i="2" s="1"/>
  <c r="M4" i="2"/>
  <c r="C4" i="2" s="1"/>
  <c r="M14" i="2"/>
  <c r="C14" i="2" s="1"/>
  <c r="M6" i="2"/>
  <c r="C6" i="2" s="1"/>
  <c r="M15" i="2"/>
  <c r="C15" i="2" s="1"/>
  <c r="M11" i="2"/>
  <c r="C11" i="2" s="1"/>
  <c r="M7" i="2"/>
  <c r="C7" i="2" s="1"/>
  <c r="C2" i="2" l="1"/>
  <c r="M18" i="2"/>
  <c r="C18" i="2" s="1"/>
  <c r="M19" i="2"/>
  <c r="C19" i="2" s="1"/>
  <c r="M20" i="2"/>
  <c r="C20" i="2" s="1"/>
  <c r="M21" i="2"/>
  <c r="C21" i="2" s="1"/>
  <c r="M22" i="2"/>
  <c r="C22" i="2" s="1"/>
  <c r="M29" i="2"/>
  <c r="C29" i="2" s="1"/>
  <c r="M30" i="2"/>
  <c r="C30" i="2" s="1"/>
  <c r="M31" i="2"/>
  <c r="C31" i="2" s="1"/>
  <c r="M32" i="2"/>
  <c r="C32" i="2" s="1"/>
  <c r="M33" i="2"/>
  <c r="C33" i="2" s="1"/>
  <c r="M34" i="2"/>
  <c r="C34" i="2" s="1"/>
  <c r="M35" i="2"/>
  <c r="C35" i="2" s="1"/>
  <c r="M36" i="2"/>
  <c r="C36" i="2" s="1"/>
  <c r="M37" i="2"/>
  <c r="C37" i="2" s="1"/>
</calcChain>
</file>

<file path=xl/sharedStrings.xml><?xml version="1.0" encoding="utf-8"?>
<sst xmlns="http://schemas.openxmlformats.org/spreadsheetml/2006/main" count="2576" uniqueCount="396">
  <si>
    <t>상품주문번호</t>
  </si>
  <si>
    <t>주문번호</t>
  </si>
  <si>
    <t>배송방법(구매자 요청)</t>
  </si>
  <si>
    <t>배송방법</t>
  </si>
  <si>
    <t>택배사</t>
  </si>
  <si>
    <t>송장번호</t>
  </si>
  <si>
    <t>발송기한</t>
  </si>
  <si>
    <t>발송일</t>
  </si>
  <si>
    <t>수취인명</t>
  </si>
  <si>
    <t>구매자명</t>
  </si>
  <si>
    <t>구매자ID</t>
  </si>
  <si>
    <t>판매채널</t>
  </si>
  <si>
    <t>결제위치</t>
  </si>
  <si>
    <t>결제일</t>
  </si>
  <si>
    <t>상품번호</t>
  </si>
  <si>
    <t>주문상태</t>
  </si>
  <si>
    <t>상품명</t>
  </si>
  <si>
    <t>옵션정보</t>
  </si>
  <si>
    <t>수량</t>
  </si>
  <si>
    <t>옵션관리코드</t>
  </si>
  <si>
    <t>옵션가격</t>
  </si>
  <si>
    <t>상품가격</t>
  </si>
  <si>
    <t>주문세부상태</t>
  </si>
  <si>
    <t>판매자 부담 할인액</t>
  </si>
  <si>
    <t>상품종류</t>
  </si>
  <si>
    <t>사은품</t>
  </si>
  <si>
    <t>발주확인일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</si>
  <si>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</si>
  <si>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</si>
  <si>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</si>
  <si>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</si>
  <si>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</si>
  <si>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</si>
  <si>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</si>
  <si>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</si>
  <si>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</si>
  <si>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판매자 내부코드1</t>
  </si>
  <si>
    <t>판매자 내부코드2</t>
  </si>
  <si>
    <t>수취인연락처1</t>
  </si>
  <si>
    <t>수취인연락처2</t>
  </si>
  <si>
    <t>구매자연락처</t>
  </si>
  <si>
    <t>우편번호</t>
  </si>
  <si>
    <t>배송메세지</t>
  </si>
  <si>
    <t>출고지</t>
  </si>
  <si>
    <t>결제수단</t>
  </si>
  <si>
    <t>수수료 과금구분</t>
  </si>
  <si>
    <t>수수료결제방식</t>
  </si>
  <si>
    <t>네이버페이 주문관리 수수료</t>
  </si>
  <si>
    <t>매출연동 수수료</t>
  </si>
  <si>
    <t>정산예정금액</t>
  </si>
  <si>
    <t>개인통관고유부호</t>
  </si>
  <si>
    <t>주문일시</t>
  </si>
  <si>
    <t>배송속성</t>
  </si>
  <si>
    <t>배송희망일</t>
  </si>
  <si>
    <t>주문자ID</t>
    <phoneticPr fontId="4" type="noConversion"/>
  </si>
  <si>
    <t>주문자</t>
    <phoneticPr fontId="4" type="noConversion"/>
  </si>
  <si>
    <t>위탁자</t>
    <phoneticPr fontId="4" type="noConversion"/>
  </si>
  <si>
    <t>브랜드</t>
  </si>
  <si>
    <t>옵션</t>
    <phoneticPr fontId="4" type="noConversion"/>
  </si>
  <si>
    <t>수량</t>
    <phoneticPr fontId="4" type="noConversion"/>
  </si>
  <si>
    <t>옵션가격</t>
    <phoneticPr fontId="4" type="noConversion"/>
  </si>
  <si>
    <t>비고</t>
    <phoneticPr fontId="4" type="noConversion"/>
  </si>
  <si>
    <t>이름</t>
    <phoneticPr fontId="4" type="noConversion"/>
  </si>
  <si>
    <t>전화번호</t>
    <phoneticPr fontId="4" type="noConversion"/>
  </si>
  <si>
    <t>배송지</t>
    <phoneticPr fontId="4" type="noConversion"/>
  </si>
  <si>
    <t>배송메세지</t>
    <phoneticPr fontId="4" type="noConversion"/>
  </si>
  <si>
    <t>서울</t>
  </si>
  <si>
    <t>인천</t>
  </si>
  <si>
    <t>부산</t>
  </si>
  <si>
    <t>대구</t>
  </si>
  <si>
    <t>광주</t>
  </si>
  <si>
    <t>대전</t>
  </si>
  <si>
    <t>울산</t>
  </si>
  <si>
    <t>수원</t>
  </si>
  <si>
    <t>성남</t>
  </si>
  <si>
    <t>의정부</t>
  </si>
  <si>
    <t>안양</t>
  </si>
  <si>
    <t>부천</t>
  </si>
  <si>
    <t>광명</t>
  </si>
  <si>
    <t>평택</t>
  </si>
  <si>
    <t>동두천</t>
  </si>
  <si>
    <t>안산</t>
  </si>
  <si>
    <t>고양</t>
  </si>
  <si>
    <t>과천</t>
  </si>
  <si>
    <t>구리</t>
  </si>
  <si>
    <t>남양주</t>
  </si>
  <si>
    <t>오산</t>
  </si>
  <si>
    <t>시흥</t>
  </si>
  <si>
    <t>의왕</t>
  </si>
  <si>
    <t>하남</t>
  </si>
  <si>
    <t>용인</t>
  </si>
  <si>
    <t>파주</t>
  </si>
  <si>
    <t>이천</t>
  </si>
  <si>
    <t>김포</t>
  </si>
  <si>
    <t>화성</t>
  </si>
  <si>
    <t>양주</t>
  </si>
  <si>
    <t>포천</t>
  </si>
  <si>
    <t>여주</t>
  </si>
  <si>
    <t>연천</t>
  </si>
  <si>
    <t>가평</t>
  </si>
  <si>
    <t>양평</t>
  </si>
  <si>
    <t>춘천</t>
  </si>
  <si>
    <t>원주</t>
  </si>
  <si>
    <t>강릉</t>
  </si>
  <si>
    <t>동해</t>
  </si>
  <si>
    <t>태백</t>
  </si>
  <si>
    <t>속초</t>
  </si>
  <si>
    <t>삼척</t>
  </si>
  <si>
    <t>홍천</t>
  </si>
  <si>
    <t>횡성</t>
  </si>
  <si>
    <t>영월</t>
  </si>
  <si>
    <t>평창</t>
  </si>
  <si>
    <t>정선</t>
  </si>
  <si>
    <t>철원</t>
  </si>
  <si>
    <t>화천</t>
  </si>
  <si>
    <t>양구</t>
  </si>
  <si>
    <t>인제</t>
  </si>
  <si>
    <t>고성</t>
  </si>
  <si>
    <t>양양</t>
  </si>
  <si>
    <t>청주</t>
  </si>
  <si>
    <t>충주</t>
  </si>
  <si>
    <t>제천</t>
  </si>
  <si>
    <t>보은</t>
  </si>
  <si>
    <t>옥천</t>
  </si>
  <si>
    <t>영동</t>
  </si>
  <si>
    <t>증평</t>
  </si>
  <si>
    <t>괴산</t>
  </si>
  <si>
    <t>진천</t>
  </si>
  <si>
    <t>음성</t>
  </si>
  <si>
    <t>단양</t>
  </si>
  <si>
    <t>천안</t>
  </si>
  <si>
    <t>공주</t>
  </si>
  <si>
    <t>보령</t>
  </si>
  <si>
    <t>아산</t>
  </si>
  <si>
    <t>서산</t>
  </si>
  <si>
    <t>논산</t>
  </si>
  <si>
    <t>계룡</t>
  </si>
  <si>
    <t>당진</t>
  </si>
  <si>
    <t>금산</t>
  </si>
  <si>
    <t>부여</t>
  </si>
  <si>
    <t>서천</t>
  </si>
  <si>
    <t>청양</t>
  </si>
  <si>
    <t>홍성</t>
  </si>
  <si>
    <t>예산</t>
  </si>
  <si>
    <t>태안</t>
  </si>
  <si>
    <t>전주</t>
  </si>
  <si>
    <t>군산</t>
  </si>
  <si>
    <t>익산</t>
  </si>
  <si>
    <t>정읍</t>
  </si>
  <si>
    <t>남원</t>
  </si>
  <si>
    <t>김제</t>
  </si>
  <si>
    <t>완주</t>
  </si>
  <si>
    <t>진안</t>
  </si>
  <si>
    <t>무주</t>
  </si>
  <si>
    <t>장수</t>
  </si>
  <si>
    <t>임실</t>
  </si>
  <si>
    <t>순창</t>
  </si>
  <si>
    <t>고창</t>
  </si>
  <si>
    <t>부안</t>
  </si>
  <si>
    <t>목포</t>
  </si>
  <si>
    <t>여수</t>
  </si>
  <si>
    <t>나주</t>
  </si>
  <si>
    <t>광양</t>
  </si>
  <si>
    <t>곡성</t>
  </si>
  <si>
    <t>구례</t>
  </si>
  <si>
    <t>고흥</t>
  </si>
  <si>
    <t>중랑구</t>
  </si>
  <si>
    <t>성북구</t>
  </si>
  <si>
    <t>강북구</t>
  </si>
  <si>
    <t>도봉구</t>
  </si>
  <si>
    <t>노원구</t>
  </si>
  <si>
    <t>은평구</t>
  </si>
  <si>
    <t>서대문</t>
  </si>
  <si>
    <t>마포구</t>
  </si>
  <si>
    <t>양천구</t>
  </si>
  <si>
    <t>강서구</t>
  </si>
  <si>
    <t>구로구</t>
  </si>
  <si>
    <t>금천구</t>
  </si>
  <si>
    <t>영등포</t>
  </si>
  <si>
    <t>동작구</t>
  </si>
  <si>
    <t>관악구</t>
  </si>
  <si>
    <t>서초구</t>
  </si>
  <si>
    <t>강남구</t>
  </si>
  <si>
    <t>송파구</t>
  </si>
  <si>
    <t>강동구</t>
  </si>
  <si>
    <t>영도</t>
  </si>
  <si>
    <t>부산진</t>
  </si>
  <si>
    <t>동래</t>
  </si>
  <si>
    <t>동래구</t>
  </si>
  <si>
    <t>해운대</t>
  </si>
  <si>
    <t>금정구</t>
  </si>
  <si>
    <t>금정</t>
  </si>
  <si>
    <t>연제구</t>
  </si>
  <si>
    <t>수영구</t>
  </si>
  <si>
    <t>사상구</t>
  </si>
  <si>
    <t>기장군</t>
  </si>
  <si>
    <t>달서구</t>
  </si>
  <si>
    <t>달성군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</si>
  <si>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</si>
  <si>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</si>
  <si>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</si>
  <si>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</si>
  <si>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</si>
  <si>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</si>
  <si>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</si>
  <si>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</si>
  <si>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울주군</t>
  </si>
  <si>
    <t>보성</t>
  </si>
  <si>
    <t>화순</t>
  </si>
  <si>
    <t>장흥</t>
  </si>
  <si>
    <t>강진</t>
  </si>
  <si>
    <t>해남</t>
  </si>
  <si>
    <t>영암</t>
  </si>
  <si>
    <t>무안</t>
  </si>
  <si>
    <t>함평</t>
  </si>
  <si>
    <t>영광</t>
  </si>
  <si>
    <t>장성</t>
  </si>
  <si>
    <t>완도</t>
  </si>
  <si>
    <t>진도</t>
  </si>
  <si>
    <t>신안</t>
  </si>
  <si>
    <t>포항</t>
  </si>
  <si>
    <t>경주</t>
  </si>
  <si>
    <t>김천</t>
  </si>
  <si>
    <t>안동</t>
  </si>
  <si>
    <t>구미</t>
  </si>
  <si>
    <t>영주</t>
  </si>
  <si>
    <t>영천</t>
  </si>
  <si>
    <t>상주</t>
  </si>
  <si>
    <t>문경</t>
  </si>
  <si>
    <t>경산</t>
  </si>
  <si>
    <t>군위</t>
  </si>
  <si>
    <t>의성</t>
  </si>
  <si>
    <t>청송</t>
  </si>
  <si>
    <t>영양</t>
  </si>
  <si>
    <t>영덕</t>
  </si>
  <si>
    <t>청도</t>
  </si>
  <si>
    <t>고령</t>
  </si>
  <si>
    <t>성주</t>
  </si>
  <si>
    <t>칠곡</t>
  </si>
  <si>
    <t>예천</t>
  </si>
  <si>
    <t>봉화</t>
  </si>
  <si>
    <t>울진</t>
  </si>
  <si>
    <t>울릉</t>
  </si>
  <si>
    <t>울릉군</t>
  </si>
  <si>
    <t>창원</t>
  </si>
  <si>
    <t>진주</t>
  </si>
  <si>
    <t>통영</t>
  </si>
  <si>
    <t>사천</t>
  </si>
  <si>
    <t>김해</t>
  </si>
  <si>
    <t>밀양</t>
  </si>
  <si>
    <t>거제</t>
  </si>
  <si>
    <t>양산</t>
  </si>
  <si>
    <t>의령</t>
  </si>
  <si>
    <t>함안</t>
  </si>
  <si>
    <t>창녕</t>
  </si>
  <si>
    <t>남해</t>
  </si>
  <si>
    <t>하동</t>
  </si>
  <si>
    <t>산청</t>
  </si>
  <si>
    <t>함양</t>
  </si>
  <si>
    <t>거창</t>
  </si>
  <si>
    <t>합천</t>
  </si>
  <si>
    <t>서울특별시</t>
    <phoneticPr fontId="2" type="noConversion"/>
  </si>
  <si>
    <t>대구광역시</t>
    <phoneticPr fontId="2" type="noConversion"/>
  </si>
  <si>
    <t>광주광역시</t>
    <phoneticPr fontId="2" type="noConversion"/>
  </si>
  <si>
    <t>대전광역시</t>
    <phoneticPr fontId="2" type="noConversion"/>
  </si>
  <si>
    <t>울산광역시</t>
    <phoneticPr fontId="2" type="noConversion"/>
  </si>
  <si>
    <t>종로구</t>
    <phoneticPr fontId="2" type="noConversion"/>
  </si>
  <si>
    <t>용산구</t>
    <phoneticPr fontId="2" type="noConversion"/>
  </si>
  <si>
    <t>성동구</t>
    <phoneticPr fontId="2" type="noConversion"/>
  </si>
  <si>
    <t>광진구</t>
    <phoneticPr fontId="2" type="noConversion"/>
  </si>
  <si>
    <t>동대문구</t>
    <phoneticPr fontId="2" type="noConversion"/>
  </si>
  <si>
    <t>중랑구</t>
    <phoneticPr fontId="2" type="noConversion"/>
  </si>
  <si>
    <t>성북구</t>
    <phoneticPr fontId="2" type="noConversion"/>
  </si>
  <si>
    <t>인천광역시</t>
    <phoneticPr fontId="2" type="noConversion"/>
  </si>
  <si>
    <t>부산광역시</t>
    <phoneticPr fontId="2" type="noConversion"/>
  </si>
  <si>
    <t>(</t>
    <phoneticPr fontId="2" type="noConversion"/>
  </si>
  <si>
    <t>풀필먼트사(주문 기준)</t>
  </si>
  <si>
    <t>반품안심케어</t>
  </si>
  <si>
    <t>통합배송지</t>
  </si>
  <si>
    <t>기본배송지</t>
  </si>
  <si>
    <t>상세배송지</t>
  </si>
  <si>
    <t>매출연동수수료 유입경로</t>
  </si>
  <si>
    <t>구독신청회차</t>
  </si>
  <si>
    <t>구독진행회차</t>
  </si>
  <si>
    <t>지역명</t>
    <phoneticPr fontId="2" type="noConversion"/>
  </si>
  <si>
    <t>)</t>
    <phoneticPr fontId="2" type="noConversion"/>
  </si>
  <si>
    <t>품명</t>
    <phoneticPr fontId="2" type="noConversion"/>
  </si>
  <si>
    <t>세종특별자치시</t>
    <phoneticPr fontId="2" type="noConversion"/>
  </si>
  <si>
    <t>세종</t>
    <phoneticPr fontId="2" type="noConversion"/>
  </si>
  <si>
    <t>순천</t>
    <phoneticPr fontId="2" type="noConversion"/>
  </si>
  <si>
    <t>제주</t>
    <phoneticPr fontId="2" type="noConversion"/>
  </si>
  <si>
    <t>군포</t>
    <phoneticPr fontId="2" type="noConversion"/>
  </si>
  <si>
    <t>안성</t>
    <phoneticPr fontId="2" type="noConversion"/>
  </si>
  <si>
    <t>남양주</t>
    <phoneticPr fontId="2" type="noConversion"/>
  </si>
  <si>
    <t>담양군</t>
    <phoneticPr fontId="2" type="noConversion"/>
  </si>
  <si>
    <t>duyou02</t>
  </si>
  <si>
    <t>D107 이재영</t>
  </si>
  <si>
    <t>D107 이재영</t>
    <phoneticPr fontId="2" type="noConversion"/>
  </si>
  <si>
    <t>duyou02</t>
    <phoneticPr fontId="2" type="noConversion"/>
  </si>
  <si>
    <t>수량클레임 여부</t>
    <phoneticPr fontId="2" type="noConversion"/>
  </si>
  <si>
    <t>최종 상품별 할인액</t>
    <phoneticPr fontId="2" type="noConversion"/>
  </si>
  <si>
    <t>최초상품별 할인액</t>
    <phoneticPr fontId="2" type="noConversion"/>
  </si>
  <si>
    <t>최종 상품별 총 주문금액</t>
    <phoneticPr fontId="2" type="noConversion"/>
  </si>
  <si>
    <t>최초 상품별 총 주문금액</t>
    <phoneticPr fontId="2" type="noConversion"/>
  </si>
  <si>
    <t>일반배송</t>
  </si>
  <si>
    <t>택배,등기,소포</t>
  </si>
  <si>
    <t>CJ대한통운</t>
  </si>
  <si>
    <t>스마트스토어</t>
  </si>
  <si>
    <t>발송대기</t>
  </si>
  <si>
    <t>신규주문</t>
  </si>
  <si>
    <t>N</t>
  </si>
  <si>
    <t>MOBILE</t>
  </si>
  <si>
    <t>조합형옵션상품</t>
  </si>
  <si>
    <t>비대상</t>
  </si>
  <si>
    <t>선결제</t>
  </si>
  <si>
    <t>조건부무료</t>
  </si>
  <si>
    <t>(11812) 경기도 의정부시 용민로 442 (민락센트럴) 1502-203</t>
  </si>
  <si>
    <t>(02523) 서울특별시 동대문구 장한로 158 (대흥빌딩) 2층</t>
  </si>
  <si>
    <t>14000</t>
  </si>
  <si>
    <t>2026011253898531</t>
  </si>
  <si>
    <t>2026011284749281</t>
  </si>
  <si>
    <t>김선미</t>
  </si>
  <si>
    <t>sunm****</t>
  </si>
  <si>
    <t>12762878233</t>
  </si>
  <si>
    <t>마마스파파 요거트패딩 S-XL 25겨울</t>
  </si>
  <si>
    <t>색상: 아이 / 사이즈: S</t>
  </si>
  <si>
    <t>2026011272213233</t>
  </si>
  <si>
    <t>29000</t>
  </si>
  <si>
    <t>010-6603-8079</t>
  </si>
  <si>
    <t>대구광역시 달서구 장기로 115 (성당동, 성당동 더 샵) 104동 1404호</t>
  </si>
  <si>
    <t>대구광역시 달서구 장기로 115 (성당동, 성당동 더 샵)</t>
  </si>
  <si>
    <t>104동 1404호</t>
  </si>
  <si>
    <t>42677</t>
  </si>
  <si>
    <t>머니결제</t>
  </si>
  <si>
    <t>2026011240288501</t>
  </si>
  <si>
    <t>2026011275606691</t>
  </si>
  <si>
    <t>허은정</t>
  </si>
  <si>
    <t>tnsw*****</t>
  </si>
  <si>
    <t>PC</t>
  </si>
  <si>
    <t>12618833741</t>
  </si>
  <si>
    <t>봉봉부틱 토브팬츠 JS-JM 25겨울</t>
  </si>
  <si>
    <t>색상: 브라운 / 사이즈: JM</t>
  </si>
  <si>
    <t>2026011270469386</t>
  </si>
  <si>
    <t>21000</t>
  </si>
  <si>
    <t>010-2543-6903</t>
  </si>
  <si>
    <t>대구광역시 달성군 다사읍 서재로7길 25 (다사읍, 에코폴리스 동화 아이위시 3차) 311동 1101호</t>
  </si>
  <si>
    <t>대구광역시 달성군 다사읍 서재로7길 25 (다사읍, 에코폴리스 동화 아이위시 3차)</t>
  </si>
  <si>
    <t>311동 1101호</t>
  </si>
  <si>
    <t>42929</t>
  </si>
  <si>
    <t>빠른배송 부탁드려요</t>
  </si>
  <si>
    <t>무통장입금</t>
  </si>
  <si>
    <t>2026011240288491</t>
  </si>
  <si>
    <t>색상: 그레이 / 사이즈: JM</t>
  </si>
  <si>
    <t>2026011120438271</t>
  </si>
  <si>
    <t>2026011162458371</t>
  </si>
  <si>
    <t>이지영</t>
  </si>
  <si>
    <t>wleo****</t>
  </si>
  <si>
    <t>12816005359</t>
  </si>
  <si>
    <t>피치피치 구름아노락후디 XS-XL 25겨울</t>
  </si>
  <si>
    <t>색상: 크림 / 사이즈: L</t>
  </si>
  <si>
    <t>2026011167934152</t>
  </si>
  <si>
    <t>18000</t>
  </si>
  <si>
    <t>010-4581-7145</t>
  </si>
  <si>
    <t>경기도 화성시 동탄순환대로20길 69 (목동) 경남아너스빌22단지 2253동 1701호</t>
  </si>
  <si>
    <t>경기도 화성시 동탄순환대로20길 69 (목동)</t>
  </si>
  <si>
    <t>경남아너스빌22단지 2253동 1701호</t>
  </si>
  <si>
    <t>18484</t>
  </si>
  <si>
    <t>신용카드</t>
  </si>
  <si>
    <t>2026011120438261</t>
  </si>
  <si>
    <t>12816016019</t>
  </si>
  <si>
    <t>피치피치 구름후리스팬츠 XS-XL 25겨울</t>
  </si>
  <si>
    <t>주문일</t>
  </si>
  <si>
    <t>주문자ID(주문번호)</t>
  </si>
  <si>
    <t>주문자명</t>
  </si>
  <si>
    <t>고객명</t>
  </si>
  <si>
    <t>브랜드/상품명</t>
  </si>
  <si>
    <t>옵션</t>
  </si>
  <si>
    <t>옵션가</t>
  </si>
  <si>
    <t>수령인</t>
  </si>
  <si>
    <t>전화번호</t>
  </si>
  <si>
    <t>주소</t>
  </si>
  <si>
    <t>duyou03</t>
  </si>
  <si>
    <t>D108 이재영</t>
  </si>
  <si>
    <t>마마스파파 요거트패딩</t>
  </si>
  <si>
    <t>duyou04</t>
  </si>
  <si>
    <t>D109 이재영</t>
  </si>
  <si>
    <t>봉봉부틱 토브팬츠</t>
  </si>
  <si>
    <t>duyou05</t>
  </si>
  <si>
    <t>D110 이재영</t>
  </si>
  <si>
    <t>duyou06</t>
  </si>
  <si>
    <t>D111 이재영</t>
  </si>
  <si>
    <t>피치피치 구름아노락후디</t>
  </si>
  <si>
    <t>duyou07</t>
  </si>
  <si>
    <t>D112 이재영</t>
  </si>
  <si>
    <t>피치피치 구름후리스팬츠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</si>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</sst>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yyyy/mm/dd\ hh:mm"/>
    <numFmt numFmtId="177" formatCode="&quot;₩&quot;#,##0"/>
    <numFmt numFmtId="178" formatCode="0_);[Red]\(0\)"/>
  </numFmts>
  <fonts count="1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color rgb="FF000000"/>
      <name val="Arial"/>
      <family val="2"/>
    </font>
    <font>
      <sz val="8"/>
      <color rgb="FF000000"/>
      <name val="돋움"/>
      <family val="3"/>
      <charset val="129"/>
    </font>
    <font>
      <b/>
      <sz val="11"/>
      <name val="맑은 고딕"/>
      <family val="3"/>
      <charset val="129"/>
    </font>
    <font>
      <sz val="10"/>
      <color theme="0" tint="-0.499984740745262"/>
      <name val="맑은 고딕"/>
      <family val="3"/>
      <charset val="129"/>
      <scheme val="minor"/>
    </font>
    <font>
      <sz val="11"/>
      <color theme="0" tint="-0.499984740745262"/>
      <name val="맑은 고딕"/>
      <family val="2"/>
      <scheme val="minor"/>
    </font>
    <font>
      <sz val="8"/>
      <color theme="0" tint="-0.499984740745262"/>
      <name val="돋움"/>
      <family val="3"/>
      <charset val="129"/>
    </font>
    <font>
      <sz val="8"/>
      <color theme="0" tint="-0.499984740745262"/>
      <name val="Arial"/>
      <family val="2"/>
    </font>
    <font>
      <sz val="8"/>
      <color theme="0" tint="-0.499984740745262"/>
      <name val="맑은 고딕"/>
      <family val="3"/>
      <charset val="129"/>
    </font>
    <font>
      <sz val="8"/>
      <color theme="0" tint="-0.499984740745262"/>
      <name val="Arial Unicode MS"/>
      <family val="2"/>
      <charset val="129"/>
    </font>
    <font>
      <sz val="8"/>
      <color theme="0" tint="-0.499984740745262"/>
      <name val="맑은 고딕"/>
      <family val="3"/>
      <charset val="129"/>
      <scheme val="minor"/>
    </font>
    <font>
      <sz val="8"/>
      <color theme="0" tint="-0.499984740745262"/>
      <name val="맑은 고딕"/>
      <family val="2"/>
      <scheme val="minor"/>
    </font>
    <font>
      <sz val="9"/>
      <color theme="0" tint="-0.49998474074526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>
      <alignment vertical="center"/>
    </xf>
    <xf numFmtId="0" fontId="1" fillId="0" borderId="0"/>
  </cellStyleXfs>
  <cellXfs count="32">
    <xf numFmtId="0" fontId="0" fillId="0" borderId="0" xfId="0"/>
    <xf numFmtId="0" fontId="3" fillId="0" borderId="0" xfId="0" applyFont="1"/>
    <xf numFmtId="176" fontId="3" fillId="0" borderId="0" xfId="0" applyNumberFormat="1" applyFont="1" applyAlignment="1">
      <alignment horizontal="right" wrapText="1"/>
    </xf>
    <xf numFmtId="177" fontId="3" fillId="0" borderId="0" xfId="0" applyNumberFormat="1" applyFont="1" applyAlignment="1">
      <alignment wrapText="1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2" fontId="5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3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vertical="center"/>
    </xf>
    <xf numFmtId="177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6" fontId="0" fillId="0" borderId="0" xfId="0" applyNumberFormat="1" applyAlignment="1">
      <alignment horizontal="right" wrapText="1"/>
    </xf>
    <xf numFmtId="177" fontId="0" fillId="0" borderId="0" xfId="0" applyNumberFormat="1" applyAlignment="1">
      <alignment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8" fillId="4" borderId="0" xfId="0" applyFont="1" applyFill="1" applyAlignment="1">
      <alignment horizontal="center"/>
    </xf>
  </cellXfs>
  <cellStyles count="3">
    <cellStyle name="통화 [0]" xfId="1" builtinId="7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D081-E9AA-480E-B184-912C9F23A9B2}">
  <dimension ref="A1:L6"/>
  <sheetViews>
    <sheetView tabSelected="1" workbookViewId="0">
      <selection activeCell="L4" sqref="L4"/>
    </sheetView>
  </sheetViews>
  <sheetFormatPr defaultRowHeight="16.5"/>
  <sheetData>
    <row r="1" spans="1:12">
      <c r="A1" t="s">
        <v>371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18</v>
      </c>
      <c r="H1" t="s">
        <v>377</v>
      </c>
      <c r="I1" t="s">
        <v>378</v>
      </c>
      <c r="J1" t="s">
        <v>379</v>
      </c>
      <c r="K1" t="s">
        <v>380</v>
      </c>
      <c r="L1" t="s">
        <v>42</v>
      </c>
    </row>
    <row r="2" spans="1:12">
      <c r="A2" t="s">
        <v>327</v>
      </c>
      <c r="B2" t="s">
        <v>381</v>
      </c>
      <c r="C2" t="s">
        <v>382</v>
      </c>
      <c r="D2" t="s">
        <v>321</v>
      </c>
      <c r="E2" t="s">
        <v>383</v>
      </c>
      <c r="F2" t="s">
        <v>325</v>
      </c>
      <c r="G2">
        <v>1</v>
      </c>
      <c r="I2" t="s">
        <v>321</v>
      </c>
      <c r="J2" t="s">
        <v>328</v>
      </c>
      <c r="K2" t="s">
        <v>329</v>
      </c>
      <c r="L2" t="s">
        <v>395</v>
      </c>
    </row>
    <row r="3" spans="1:12">
      <c r="A3" t="s">
        <v>343</v>
      </c>
      <c r="B3" t="s">
        <v>384</v>
      </c>
      <c r="C3" t="s">
        <v>385</v>
      </c>
      <c r="D3" t="s">
        <v>336</v>
      </c>
      <c r="E3" t="s">
        <v>386</v>
      </c>
      <c r="F3" t="s">
        <v>341</v>
      </c>
      <c r="G3">
        <v>1</v>
      </c>
      <c r="I3" t="s">
        <v>336</v>
      </c>
      <c r="J3" t="s">
        <v>344</v>
      </c>
      <c r="K3" t="s">
        <v>345</v>
      </c>
      <c r="L3" t="s">
        <v>349</v>
      </c>
    </row>
    <row r="4" spans="1:12">
      <c r="A4" t="s">
        <v>343</v>
      </c>
      <c r="B4" t="s">
        <v>387</v>
      </c>
      <c r="C4" t="s">
        <v>388</v>
      </c>
      <c r="D4" t="s">
        <v>336</v>
      </c>
      <c r="E4" t="s">
        <v>386</v>
      </c>
      <c r="F4" t="s">
        <v>352</v>
      </c>
      <c r="G4">
        <v>1</v>
      </c>
      <c r="I4" t="s">
        <v>336</v>
      </c>
      <c r="J4" t="s">
        <v>344</v>
      </c>
      <c r="K4" t="s">
        <v>345</v>
      </c>
      <c r="L4" t="s">
        <v>349</v>
      </c>
    </row>
    <row r="5" spans="1:12">
      <c r="A5" t="s">
        <v>361</v>
      </c>
      <c r="B5" t="s">
        <v>389</v>
      </c>
      <c r="C5" t="s">
        <v>390</v>
      </c>
      <c r="D5" t="s">
        <v>355</v>
      </c>
      <c r="E5" t="s">
        <v>391</v>
      </c>
      <c r="F5" t="s">
        <v>359</v>
      </c>
      <c r="G5">
        <v>1</v>
      </c>
      <c r="I5" t="s">
        <v>355</v>
      </c>
      <c r="J5" t="s">
        <v>362</v>
      </c>
      <c r="K5" t="s">
        <v>363</v>
      </c>
      <c r="L5" t="s">
        <v>395</v>
      </c>
    </row>
    <row r="6" spans="1:12">
      <c r="A6" t="s">
        <v>318</v>
      </c>
      <c r="B6" t="s">
        <v>392</v>
      </c>
      <c r="C6" t="s">
        <v>393</v>
      </c>
      <c r="D6" t="s">
        <v>355</v>
      </c>
      <c r="E6" t="s">
        <v>394</v>
      </c>
      <c r="F6" t="s">
        <v>359</v>
      </c>
      <c r="G6">
        <v>1</v>
      </c>
      <c r="I6" t="s">
        <v>355</v>
      </c>
      <c r="J6" t="s">
        <v>362</v>
      </c>
      <c r="K6" t="s">
        <v>363</v>
      </c>
      <c r="L6" t="s">
        <v>395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42"/>
  <sheetViews>
    <sheetView topLeftCell="J1" workbookViewId="0">
      <selection activeCell="K4" sqref="A1:BO6"/>
    </sheetView>
  </sheetViews>
  <sheetFormatPr defaultColWidth="9" defaultRowHeight="13.5"/>
  <cols>
    <col min="1" max="2" width="18.375" style="1" bestFit="1" customWidth="1"/>
    <col min="3" max="3" width="9.25" style="1" bestFit="1" customWidth="1"/>
    <col min="4" max="5" width="21.625" style="1" bestFit="1" customWidth="1"/>
    <col min="6" max="6" width="13.875" style="1" bestFit="1" customWidth="1"/>
    <col min="7" max="7" width="7.375" style="2" bestFit="1" customWidth="1"/>
    <col min="8" max="8" width="9.25" style="2" bestFit="1" customWidth="1"/>
    <col min="9" max="9" width="16.625" style="2" bestFit="1" customWidth="1"/>
    <col min="10" max="10" width="13" style="2" bestFit="1" customWidth="1"/>
    <col min="11" max="11" width="9.25" style="2" bestFit="1" customWidth="1"/>
    <col min="12" max="12" width="10.5" style="2" bestFit="1" customWidth="1"/>
    <col min="13" max="14" width="9.25" style="2" bestFit="1" customWidth="1"/>
    <col min="15" max="15" width="13.25" style="2" bestFit="1" customWidth="1"/>
    <col min="16" max="16" width="16.125" style="2" bestFit="1" customWidth="1"/>
    <col min="17" max="17" width="9.25" style="2" bestFit="1" customWidth="1"/>
    <col min="18" max="18" width="16.625" style="2" bestFit="1" customWidth="1"/>
    <col min="19" max="19" width="12.75" style="2" bestFit="1" customWidth="1"/>
    <col min="20" max="20" width="58.625" style="2" bestFit="1" customWidth="1"/>
    <col min="21" max="21" width="15.125" style="2" bestFit="1" customWidth="1"/>
    <col min="22" max="22" width="13.25" style="3" bestFit="1" customWidth="1"/>
    <col min="23" max="23" width="35.875" style="3" bestFit="1" customWidth="1"/>
    <col min="24" max="24" width="13.25" style="3" bestFit="1" customWidth="1"/>
    <col min="25" max="25" width="5.5" style="3" bestFit="1" customWidth="1"/>
    <col min="26" max="27" width="9.25" style="3" bestFit="1" customWidth="1"/>
    <col min="28" max="28" width="18.875" style="3" bestFit="1" customWidth="1"/>
    <col min="29" max="29" width="18.125" style="3" bestFit="1" customWidth="1"/>
    <col min="30" max="30" width="18.875" style="3" bestFit="1" customWidth="1"/>
    <col min="31" max="31" width="23.75" style="2" bestFit="1" customWidth="1"/>
    <col min="32" max="32" width="23.75" style="2" customWidth="1"/>
    <col min="33" max="33" width="8.25" style="2" bestFit="1" customWidth="1"/>
    <col min="34" max="34" width="11.25" style="2" bestFit="1" customWidth="1"/>
    <col min="35" max="35" width="9.25" style="2" bestFit="1" customWidth="1"/>
    <col min="36" max="36" width="16.625" style="2" bestFit="1" customWidth="1"/>
    <col min="37" max="37" width="11.25" style="2" bestFit="1" customWidth="1"/>
    <col min="38" max="38" width="11.875" style="3" bestFit="1" customWidth="1"/>
    <col min="39" max="39" width="16.125" style="3" bestFit="1" customWidth="1"/>
    <col min="40" max="40" width="18.375" style="3" bestFit="1" customWidth="1"/>
    <col min="41" max="41" width="11.875" style="3" bestFit="1" customWidth="1"/>
    <col min="42" max="42" width="21.25" style="3" bestFit="1" customWidth="1"/>
    <col min="43" max="43" width="14" style="3" bestFit="1" customWidth="1"/>
    <col min="44" max="44" width="16.125" style="3" bestFit="1" customWidth="1"/>
    <col min="45" max="45" width="18.75" style="3" bestFit="1" customWidth="1"/>
    <col min="46" max="46" width="17.375" style="3" bestFit="1" customWidth="1"/>
    <col min="47" max="47" width="14.5" style="3" bestFit="1" customWidth="1"/>
    <col min="48" max="48" width="15.5" style="3" bestFit="1" customWidth="1"/>
    <col min="49" max="50" width="85.25" style="3" bestFit="1" customWidth="1"/>
    <col min="51" max="51" width="72" style="3" bestFit="1" customWidth="1"/>
    <col min="52" max="52" width="28.125" style="3" bestFit="1" customWidth="1"/>
    <col min="53" max="53" width="14.375" style="3" bestFit="1" customWidth="1"/>
    <col min="54" max="54" width="11.25" style="3" bestFit="1" customWidth="1"/>
    <col min="55" max="55" width="29.875" style="3" bestFit="1" customWidth="1"/>
    <col min="56" max="56" width="63.5" style="3" bestFit="1" customWidth="1"/>
    <col min="57" max="57" width="17.875" style="3" bestFit="1" customWidth="1"/>
    <col min="58" max="58" width="26.875" style="3" bestFit="1" customWidth="1"/>
    <col min="59" max="59" width="27.125" style="3" bestFit="1" customWidth="1"/>
    <col min="60" max="60" width="16.125" style="2" bestFit="1" customWidth="1"/>
    <col min="61" max="61" width="13.25" style="2" bestFit="1" customWidth="1"/>
    <col min="62" max="62" width="24.375" style="2" bestFit="1" customWidth="1"/>
    <col min="63" max="63" width="29.375" style="2" bestFit="1" customWidth="1"/>
    <col min="64" max="65" width="16.625" style="2" bestFit="1" customWidth="1"/>
    <col min="66" max="66" width="13.25" style="2" bestFit="1" customWidth="1"/>
    <col min="67" max="67" width="11.25" style="2" bestFit="1" customWidth="1"/>
    <col min="68" max="68" width="12.75" style="2" bestFit="1" customWidth="1"/>
    <col min="69" max="16384" width="9" style="1"/>
  </cols>
  <sheetData>
    <row r="1" spans="1:67" customFormat="1" ht="16.5">
      <c r="A1" s="19" t="s">
        <v>0</v>
      </c>
      <c r="B1" s="19" t="s">
        <v>1</v>
      </c>
      <c r="C1" s="19" t="s">
        <v>52</v>
      </c>
      <c r="D1" s="19" t="s">
        <v>276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7</v>
      </c>
      <c r="J1" s="19" t="s">
        <v>11</v>
      </c>
      <c r="K1" s="19" t="s">
        <v>9</v>
      </c>
      <c r="L1" s="19" t="s">
        <v>10</v>
      </c>
      <c r="M1" s="19" t="s">
        <v>8</v>
      </c>
      <c r="N1" s="19" t="s">
        <v>15</v>
      </c>
      <c r="O1" s="19" t="s">
        <v>22</v>
      </c>
      <c r="P1" s="19" t="s">
        <v>299</v>
      </c>
      <c r="Q1" s="19" t="s">
        <v>12</v>
      </c>
      <c r="R1" s="19" t="s">
        <v>13</v>
      </c>
      <c r="S1" s="19" t="s">
        <v>14</v>
      </c>
      <c r="T1" s="19" t="s">
        <v>16</v>
      </c>
      <c r="U1" s="19" t="s">
        <v>24</v>
      </c>
      <c r="V1" s="19" t="s">
        <v>277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21</v>
      </c>
      <c r="AB1" s="31" t="s">
        <v>300</v>
      </c>
      <c r="AC1" s="31" t="s">
        <v>301</v>
      </c>
      <c r="AD1" s="19" t="s">
        <v>23</v>
      </c>
      <c r="AE1" s="19" t="s">
        <v>302</v>
      </c>
      <c r="AF1" s="31" t="s">
        <v>303</v>
      </c>
      <c r="AG1" s="19" t="s">
        <v>25</v>
      </c>
      <c r="AH1" s="19" t="s">
        <v>26</v>
      </c>
      <c r="AI1" s="19" t="s">
        <v>6</v>
      </c>
      <c r="AJ1" s="19" t="s">
        <v>27</v>
      </c>
      <c r="AK1" s="19" t="s">
        <v>28</v>
      </c>
      <c r="AL1" s="19" t="s">
        <v>29</v>
      </c>
      <c r="AM1" s="19" t="s">
        <v>30</v>
      </c>
      <c r="AN1" s="19" t="s">
        <v>31</v>
      </c>
      <c r="AO1" s="19" t="s">
        <v>32</v>
      </c>
      <c r="AP1" s="19" t="s">
        <v>33</v>
      </c>
      <c r="AQ1" s="19" t="s">
        <v>34</v>
      </c>
      <c r="AR1" s="19" t="s">
        <v>35</v>
      </c>
      <c r="AS1" s="19" t="s">
        <v>36</v>
      </c>
      <c r="AT1" s="19" t="s">
        <v>37</v>
      </c>
      <c r="AU1" s="19" t="s">
        <v>38</v>
      </c>
      <c r="AV1" s="19" t="s">
        <v>39</v>
      </c>
      <c r="AW1" s="19" t="s">
        <v>278</v>
      </c>
      <c r="AX1" s="19" t="s">
        <v>279</v>
      </c>
      <c r="AY1" s="19" t="s">
        <v>280</v>
      </c>
      <c r="AZ1" s="19" t="s">
        <v>40</v>
      </c>
      <c r="BA1" s="19" t="s">
        <v>41</v>
      </c>
      <c r="BB1" s="19" t="s">
        <v>42</v>
      </c>
      <c r="BC1" s="19" t="s">
        <v>43</v>
      </c>
      <c r="BD1" s="19" t="s">
        <v>44</v>
      </c>
      <c r="BE1" s="19" t="s">
        <v>45</v>
      </c>
      <c r="BF1" s="19" t="s">
        <v>46</v>
      </c>
      <c r="BG1" s="19" t="s">
        <v>47</v>
      </c>
      <c r="BH1" s="19" t="s">
        <v>48</v>
      </c>
      <c r="BI1" s="19" t="s">
        <v>49</v>
      </c>
      <c r="BJ1" s="19" t="s">
        <v>281</v>
      </c>
      <c r="BK1" s="19" t="s">
        <v>50</v>
      </c>
      <c r="BL1" s="19" t="s">
        <v>51</v>
      </c>
      <c r="BM1" s="19" t="s">
        <v>282</v>
      </c>
      <c r="BN1" s="19" t="s">
        <v>283</v>
      </c>
      <c r="BO1" s="19" t="s">
        <v>53</v>
      </c>
    </row>
    <row r="2" spans="1:67" customFormat="1" ht="16.5">
      <c r="A2" t="s">
        <v>319</v>
      </c>
      <c r="B2" t="s">
        <v>320</v>
      </c>
      <c r="C2" t="s">
        <v>304</v>
      </c>
      <c r="E2" t="s">
        <v>305</v>
      </c>
      <c r="F2" t="s">
        <v>305</v>
      </c>
      <c r="G2" t="s">
        <v>306</v>
      </c>
      <c r="I2" s="22">
        <v>46034.758935185186</v>
      </c>
      <c r="J2" t="s">
        <v>307</v>
      </c>
      <c r="K2" t="s">
        <v>321</v>
      </c>
      <c r="L2" t="s">
        <v>322</v>
      </c>
      <c r="M2" t="s">
        <v>321</v>
      </c>
      <c r="N2" t="s">
        <v>308</v>
      </c>
      <c r="O2" t="s">
        <v>309</v>
      </c>
      <c r="P2" t="s">
        <v>310</v>
      </c>
      <c r="Q2" t="s">
        <v>311</v>
      </c>
      <c r="R2" s="22">
        <v>46034.650972222225</v>
      </c>
      <c r="S2" t="s">
        <v>323</v>
      </c>
      <c r="T2" t="s">
        <v>324</v>
      </c>
      <c r="U2" t="s">
        <v>312</v>
      </c>
      <c r="V2" t="s">
        <v>313</v>
      </c>
      <c r="W2" t="s">
        <v>325</v>
      </c>
      <c r="Y2">
        <v>1</v>
      </c>
      <c r="Z2" s="23">
        <v>0</v>
      </c>
      <c r="AA2" s="23">
        <v>46400</v>
      </c>
      <c r="AB2" s="23">
        <v>8390</v>
      </c>
      <c r="AC2" s="23">
        <v>8390</v>
      </c>
      <c r="AD2" s="23">
        <v>8390</v>
      </c>
      <c r="AE2" s="23">
        <v>38010</v>
      </c>
      <c r="AF2" s="23">
        <v>38010</v>
      </c>
      <c r="AI2" s="22">
        <v>46037.99998842593</v>
      </c>
      <c r="AL2" t="s">
        <v>314</v>
      </c>
      <c r="AM2" t="s">
        <v>326</v>
      </c>
      <c r="AN2" t="s">
        <v>315</v>
      </c>
      <c r="AO2" s="23">
        <v>3700</v>
      </c>
      <c r="AP2" s="23">
        <v>0</v>
      </c>
      <c r="AQ2" s="23">
        <v>0</v>
      </c>
      <c r="AR2" t="s">
        <v>327</v>
      </c>
      <c r="AU2" t="s">
        <v>328</v>
      </c>
      <c r="AW2" t="s">
        <v>329</v>
      </c>
      <c r="AX2" t="s">
        <v>330</v>
      </c>
      <c r="AY2" t="s">
        <v>331</v>
      </c>
      <c r="AZ2" t="s">
        <v>328</v>
      </c>
      <c r="BA2" t="s">
        <v>332</v>
      </c>
      <c r="BC2" t="s">
        <v>316</v>
      </c>
      <c r="BD2" t="s">
        <v>333</v>
      </c>
      <c r="BE2">
        <v>-740</v>
      </c>
      <c r="BF2">
        <v>-1140</v>
      </c>
      <c r="BG2" s="23">
        <v>36130</v>
      </c>
      <c r="BI2" s="22">
        <v>46034.650914351849</v>
      </c>
    </row>
    <row r="3" spans="1:67" customFormat="1" ht="16.5">
      <c r="A3" t="s">
        <v>334</v>
      </c>
      <c r="B3" t="s">
        <v>335</v>
      </c>
      <c r="C3" t="s">
        <v>304</v>
      </c>
      <c r="E3" t="s">
        <v>305</v>
      </c>
      <c r="F3" t="s">
        <v>305</v>
      </c>
      <c r="G3" t="s">
        <v>306</v>
      </c>
      <c r="I3" s="22">
        <v>46034.758935185186</v>
      </c>
      <c r="J3" t="s">
        <v>307</v>
      </c>
      <c r="K3" t="s">
        <v>336</v>
      </c>
      <c r="L3" t="s">
        <v>337</v>
      </c>
      <c r="M3" t="s">
        <v>336</v>
      </c>
      <c r="N3" t="s">
        <v>308</v>
      </c>
      <c r="O3" t="s">
        <v>309</v>
      </c>
      <c r="P3" t="s">
        <v>310</v>
      </c>
      <c r="Q3" t="s">
        <v>338</v>
      </c>
      <c r="R3" s="22">
        <v>46034.679791666669</v>
      </c>
      <c r="S3" t="s">
        <v>339</v>
      </c>
      <c r="T3" t="s">
        <v>340</v>
      </c>
      <c r="U3" t="s">
        <v>312</v>
      </c>
      <c r="V3" t="s">
        <v>313</v>
      </c>
      <c r="W3" t="s">
        <v>341</v>
      </c>
      <c r="Y3">
        <v>1</v>
      </c>
      <c r="Z3" s="23">
        <v>0</v>
      </c>
      <c r="AA3" s="23">
        <v>33600</v>
      </c>
      <c r="AB3" s="23">
        <v>6220</v>
      </c>
      <c r="AC3" s="23">
        <v>6220</v>
      </c>
      <c r="AD3" s="23">
        <v>6220</v>
      </c>
      <c r="AE3" s="23">
        <v>27380</v>
      </c>
      <c r="AF3" s="23">
        <v>27380</v>
      </c>
      <c r="AI3" s="22">
        <v>46037.99998842593</v>
      </c>
      <c r="AL3" t="s">
        <v>314</v>
      </c>
      <c r="AM3" t="s">
        <v>342</v>
      </c>
      <c r="AN3" t="s">
        <v>315</v>
      </c>
      <c r="AO3" s="23">
        <v>3700</v>
      </c>
      <c r="AP3" s="23">
        <v>0</v>
      </c>
      <c r="AQ3" s="23">
        <v>0</v>
      </c>
      <c r="AR3" t="s">
        <v>343</v>
      </c>
      <c r="AU3" t="s">
        <v>344</v>
      </c>
      <c r="AW3" t="s">
        <v>345</v>
      </c>
      <c r="AX3" t="s">
        <v>346</v>
      </c>
      <c r="AY3" t="s">
        <v>347</v>
      </c>
      <c r="AZ3" t="s">
        <v>344</v>
      </c>
      <c r="BA3" t="s">
        <v>348</v>
      </c>
      <c r="BB3" t="s">
        <v>349</v>
      </c>
      <c r="BC3" t="s">
        <v>316</v>
      </c>
      <c r="BD3" t="s">
        <v>350</v>
      </c>
      <c r="BE3">
        <v>-532</v>
      </c>
      <c r="BF3">
        <v>-821</v>
      </c>
      <c r="BG3" s="23">
        <v>26027</v>
      </c>
      <c r="BI3" s="22">
        <v>46034.462673611109</v>
      </c>
    </row>
    <row r="4" spans="1:67" customFormat="1" ht="16.5">
      <c r="A4" t="s">
        <v>351</v>
      </c>
      <c r="B4" t="s">
        <v>335</v>
      </c>
      <c r="C4" t="s">
        <v>304</v>
      </c>
      <c r="E4" t="s">
        <v>305</v>
      </c>
      <c r="F4" t="s">
        <v>305</v>
      </c>
      <c r="G4" t="s">
        <v>306</v>
      </c>
      <c r="I4" s="22">
        <v>46034.758935185186</v>
      </c>
      <c r="J4" t="s">
        <v>307</v>
      </c>
      <c r="K4" t="s">
        <v>336</v>
      </c>
      <c r="L4" t="s">
        <v>337</v>
      </c>
      <c r="M4" t="s">
        <v>336</v>
      </c>
      <c r="N4" t="s">
        <v>308</v>
      </c>
      <c r="O4" t="s">
        <v>309</v>
      </c>
      <c r="P4" t="s">
        <v>310</v>
      </c>
      <c r="Q4" t="s">
        <v>338</v>
      </c>
      <c r="R4" s="22">
        <v>46034.679791666669</v>
      </c>
      <c r="S4" t="s">
        <v>339</v>
      </c>
      <c r="T4" t="s">
        <v>340</v>
      </c>
      <c r="U4" t="s">
        <v>312</v>
      </c>
      <c r="V4" t="s">
        <v>313</v>
      </c>
      <c r="W4" t="s">
        <v>352</v>
      </c>
      <c r="Y4">
        <v>1</v>
      </c>
      <c r="Z4" s="23">
        <v>0</v>
      </c>
      <c r="AA4" s="23">
        <v>33600</v>
      </c>
      <c r="AB4" s="23">
        <v>5720</v>
      </c>
      <c r="AC4" s="23">
        <v>5720</v>
      </c>
      <c r="AD4" s="23">
        <v>5720</v>
      </c>
      <c r="AE4" s="23">
        <v>27880</v>
      </c>
      <c r="AF4" s="23">
        <v>27880</v>
      </c>
      <c r="AI4" s="22">
        <v>46037.99998842593</v>
      </c>
      <c r="AL4" t="s">
        <v>314</v>
      </c>
      <c r="AM4" t="s">
        <v>342</v>
      </c>
      <c r="AN4" t="s">
        <v>315</v>
      </c>
      <c r="AO4" s="23">
        <v>3700</v>
      </c>
      <c r="AP4" s="23">
        <v>0</v>
      </c>
      <c r="AQ4" s="23">
        <v>0</v>
      </c>
      <c r="AR4" t="s">
        <v>343</v>
      </c>
      <c r="AU4" t="s">
        <v>344</v>
      </c>
      <c r="AW4" t="s">
        <v>345</v>
      </c>
      <c r="AX4" t="s">
        <v>346</v>
      </c>
      <c r="AY4" t="s">
        <v>347</v>
      </c>
      <c r="AZ4" t="s">
        <v>344</v>
      </c>
      <c r="BA4" t="s">
        <v>348</v>
      </c>
      <c r="BB4" t="s">
        <v>349</v>
      </c>
      <c r="BC4" t="s">
        <v>316</v>
      </c>
      <c r="BD4" t="s">
        <v>350</v>
      </c>
      <c r="BE4">
        <v>-542</v>
      </c>
      <c r="BF4">
        <v>-836</v>
      </c>
      <c r="BG4" s="23">
        <v>26502</v>
      </c>
      <c r="BI4" s="22">
        <v>46034.462673611109</v>
      </c>
    </row>
    <row r="5" spans="1:67" customFormat="1" ht="16.5">
      <c r="A5" t="s">
        <v>353</v>
      </c>
      <c r="B5" t="s">
        <v>354</v>
      </c>
      <c r="C5" t="s">
        <v>304</v>
      </c>
      <c r="E5" t="s">
        <v>305</v>
      </c>
      <c r="F5" t="s">
        <v>305</v>
      </c>
      <c r="G5" t="s">
        <v>306</v>
      </c>
      <c r="I5" s="22">
        <v>46034.758935185186</v>
      </c>
      <c r="J5" t="s">
        <v>307</v>
      </c>
      <c r="K5" t="s">
        <v>355</v>
      </c>
      <c r="L5" t="s">
        <v>356</v>
      </c>
      <c r="M5" t="s">
        <v>355</v>
      </c>
      <c r="N5" t="s">
        <v>308</v>
      </c>
      <c r="O5" t="s">
        <v>309</v>
      </c>
      <c r="P5" t="s">
        <v>310</v>
      </c>
      <c r="Q5" t="s">
        <v>311</v>
      </c>
      <c r="R5" s="22">
        <v>46033.88795138889</v>
      </c>
      <c r="S5" t="s">
        <v>357</v>
      </c>
      <c r="T5" t="s">
        <v>358</v>
      </c>
      <c r="U5" t="s">
        <v>312</v>
      </c>
      <c r="V5" t="s">
        <v>313</v>
      </c>
      <c r="W5" t="s">
        <v>359</v>
      </c>
      <c r="Y5">
        <v>1</v>
      </c>
      <c r="Z5" s="23">
        <v>0</v>
      </c>
      <c r="AA5" s="23">
        <v>28800</v>
      </c>
      <c r="AB5" s="23">
        <v>4610</v>
      </c>
      <c r="AC5" s="23">
        <v>4610</v>
      </c>
      <c r="AD5" s="23">
        <v>4610</v>
      </c>
      <c r="AE5" s="23">
        <v>24190</v>
      </c>
      <c r="AF5" s="23">
        <v>24190</v>
      </c>
      <c r="AI5" s="22">
        <v>46036.99998842593</v>
      </c>
      <c r="AL5" t="s">
        <v>314</v>
      </c>
      <c r="AM5" t="s">
        <v>360</v>
      </c>
      <c r="AN5" t="s">
        <v>315</v>
      </c>
      <c r="AO5" s="23">
        <v>3700</v>
      </c>
      <c r="AP5" s="23">
        <v>0</v>
      </c>
      <c r="AQ5" s="23">
        <v>0</v>
      </c>
      <c r="AR5" t="s">
        <v>361</v>
      </c>
      <c r="AU5" t="s">
        <v>362</v>
      </c>
      <c r="AW5" t="s">
        <v>363</v>
      </c>
      <c r="AX5" t="s">
        <v>364</v>
      </c>
      <c r="AY5" t="s">
        <v>365</v>
      </c>
      <c r="AZ5" t="s">
        <v>362</v>
      </c>
      <c r="BA5" t="s">
        <v>366</v>
      </c>
      <c r="BC5" t="s">
        <v>317</v>
      </c>
      <c r="BD5" t="s">
        <v>367</v>
      </c>
      <c r="BE5">
        <v>-470</v>
      </c>
      <c r="BF5">
        <v>-725</v>
      </c>
      <c r="BG5" s="23">
        <v>22995</v>
      </c>
      <c r="BI5" s="22">
        <v>46033.887881944444</v>
      </c>
    </row>
    <row r="6" spans="1:67" customFormat="1" ht="16.5">
      <c r="A6" t="s">
        <v>368</v>
      </c>
      <c r="B6" t="s">
        <v>354</v>
      </c>
      <c r="C6" t="s">
        <v>304</v>
      </c>
      <c r="E6" t="s">
        <v>305</v>
      </c>
      <c r="F6" t="s">
        <v>305</v>
      </c>
      <c r="G6" t="s">
        <v>306</v>
      </c>
      <c r="I6" s="22">
        <v>46034.758935185186</v>
      </c>
      <c r="J6" t="s">
        <v>307</v>
      </c>
      <c r="K6" t="s">
        <v>355</v>
      </c>
      <c r="L6" t="s">
        <v>356</v>
      </c>
      <c r="M6" t="s">
        <v>355</v>
      </c>
      <c r="N6" t="s">
        <v>308</v>
      </c>
      <c r="O6" t="s">
        <v>309</v>
      </c>
      <c r="P6" t="s">
        <v>310</v>
      </c>
      <c r="Q6" t="s">
        <v>311</v>
      </c>
      <c r="R6" s="22">
        <v>46033.88795138889</v>
      </c>
      <c r="S6" t="s">
        <v>369</v>
      </c>
      <c r="T6" t="s">
        <v>370</v>
      </c>
      <c r="U6" t="s">
        <v>312</v>
      </c>
      <c r="V6" t="s">
        <v>313</v>
      </c>
      <c r="W6" t="s">
        <v>359</v>
      </c>
      <c r="Y6">
        <v>1</v>
      </c>
      <c r="Z6" s="23">
        <v>0</v>
      </c>
      <c r="AA6" s="23">
        <v>22400</v>
      </c>
      <c r="AB6" s="23">
        <v>3360</v>
      </c>
      <c r="AC6" s="23">
        <v>3360</v>
      </c>
      <c r="AD6" s="23">
        <v>3360</v>
      </c>
      <c r="AE6" s="23">
        <v>19040</v>
      </c>
      <c r="AF6" s="23">
        <v>19040</v>
      </c>
      <c r="AI6" s="22">
        <v>46036.99998842593</v>
      </c>
      <c r="AL6" t="s">
        <v>314</v>
      </c>
      <c r="AM6" t="s">
        <v>360</v>
      </c>
      <c r="AN6" t="s">
        <v>315</v>
      </c>
      <c r="AO6" s="23">
        <v>3700</v>
      </c>
      <c r="AP6" s="23">
        <v>0</v>
      </c>
      <c r="AQ6" s="23">
        <v>0</v>
      </c>
      <c r="AR6" t="s">
        <v>318</v>
      </c>
      <c r="AU6" t="s">
        <v>362</v>
      </c>
      <c r="AW6" t="s">
        <v>363</v>
      </c>
      <c r="AX6" t="s">
        <v>364</v>
      </c>
      <c r="AY6" t="s">
        <v>365</v>
      </c>
      <c r="AZ6" t="s">
        <v>362</v>
      </c>
      <c r="BA6" t="s">
        <v>366</v>
      </c>
      <c r="BC6" t="s">
        <v>317</v>
      </c>
      <c r="BD6" t="s">
        <v>367</v>
      </c>
      <c r="BE6">
        <v>-370</v>
      </c>
      <c r="BF6">
        <v>-571</v>
      </c>
      <c r="BG6" s="23">
        <v>18099</v>
      </c>
      <c r="BI6" s="22">
        <v>46033.887881944444</v>
      </c>
    </row>
    <row r="7" spans="1:67" customFormat="1" ht="16.5">
      <c r="I7" s="22"/>
      <c r="R7" s="22"/>
      <c r="Z7" s="23"/>
      <c r="AA7" s="23"/>
      <c r="AB7" s="23"/>
      <c r="AC7" s="23"/>
      <c r="AD7" s="23"/>
      <c r="AE7" s="23"/>
      <c r="AF7" s="23"/>
      <c r="AI7" s="22"/>
      <c r="AO7" s="23"/>
      <c r="AP7" s="23"/>
      <c r="AQ7" s="23"/>
      <c r="BG7" s="23"/>
      <c r="BI7" s="22"/>
    </row>
    <row r="8" spans="1:67" customFormat="1" ht="16.5">
      <c r="I8" s="22"/>
      <c r="R8" s="22"/>
      <c r="Z8" s="23"/>
      <c r="AA8" s="23"/>
      <c r="AB8" s="23"/>
      <c r="AC8" s="23"/>
      <c r="AD8" s="23"/>
      <c r="AE8" s="23"/>
      <c r="AF8" s="23"/>
      <c r="AI8" s="22"/>
      <c r="AO8" s="23"/>
      <c r="AP8" s="23"/>
      <c r="AQ8" s="23"/>
      <c r="BG8" s="23"/>
      <c r="BI8" s="22"/>
    </row>
    <row r="9" spans="1:67" customFormat="1" ht="16.5">
      <c r="I9" s="22"/>
      <c r="R9" s="22"/>
      <c r="Z9" s="23"/>
      <c r="AA9" s="23"/>
      <c r="AB9" s="23"/>
      <c r="AC9" s="23"/>
      <c r="AD9" s="23"/>
      <c r="AE9" s="23"/>
      <c r="AF9" s="23"/>
      <c r="AI9" s="22"/>
      <c r="AO9" s="23"/>
      <c r="AP9" s="23"/>
      <c r="AQ9" s="23"/>
      <c r="BG9" s="23"/>
      <c r="BI9" s="22"/>
    </row>
    <row r="10" spans="1:67" customFormat="1" ht="16.5">
      <c r="I10" s="22"/>
      <c r="R10" s="22"/>
      <c r="Z10" s="23"/>
      <c r="AA10" s="23"/>
      <c r="AB10" s="23"/>
      <c r="AC10" s="23"/>
      <c r="AD10" s="23"/>
      <c r="AE10" s="23"/>
      <c r="AF10" s="23"/>
      <c r="AI10" s="22"/>
      <c r="AO10" s="23"/>
      <c r="AP10" s="23"/>
      <c r="AQ10" s="23"/>
      <c r="BG10" s="23"/>
      <c r="BI10" s="22"/>
    </row>
    <row r="11" spans="1:67" customFormat="1" ht="16.5">
      <c r="I11" s="22"/>
      <c r="R11" s="22"/>
      <c r="Z11" s="23"/>
      <c r="AA11" s="23"/>
      <c r="AB11" s="23"/>
      <c r="AC11" s="23"/>
      <c r="AD11" s="23"/>
      <c r="AE11" s="23"/>
      <c r="AF11" s="23"/>
      <c r="AI11" s="22"/>
      <c r="AO11" s="23"/>
      <c r="AP11" s="23"/>
      <c r="AQ11" s="23"/>
      <c r="BG11" s="23"/>
      <c r="BI11" s="22"/>
    </row>
    <row r="12" spans="1:67" customFormat="1" ht="16.5">
      <c r="I12" s="22"/>
      <c r="R12" s="22"/>
      <c r="Z12" s="23"/>
      <c r="AA12" s="23"/>
      <c r="AB12" s="23"/>
      <c r="AC12" s="23"/>
      <c r="AD12" s="23"/>
      <c r="AE12" s="23"/>
      <c r="AF12" s="23"/>
      <c r="AI12" s="22"/>
      <c r="AO12" s="23"/>
      <c r="AP12" s="23"/>
      <c r="AQ12" s="23"/>
      <c r="BG12" s="23"/>
      <c r="BI12" s="22"/>
    </row>
    <row r="13" spans="1:67" customFormat="1" ht="16.5">
      <c r="I13" s="22"/>
      <c r="R13" s="22"/>
      <c r="Z13" s="23"/>
      <c r="AA13" s="23"/>
      <c r="AB13" s="23"/>
      <c r="AC13" s="23"/>
      <c r="AD13" s="23"/>
      <c r="AE13" s="23"/>
      <c r="AF13" s="23"/>
      <c r="AI13" s="22"/>
      <c r="AO13" s="23"/>
      <c r="AP13" s="23"/>
      <c r="AQ13" s="23"/>
      <c r="BG13" s="23"/>
      <c r="BI13" s="22"/>
    </row>
    <row r="14" spans="1:67" customFormat="1" ht="16.5">
      <c r="I14" s="22"/>
      <c r="R14" s="22"/>
      <c r="Z14" s="23"/>
      <c r="AA14" s="23"/>
      <c r="AB14" s="23"/>
      <c r="AC14" s="23"/>
      <c r="AD14" s="23"/>
      <c r="AE14" s="23"/>
      <c r="AF14" s="23"/>
      <c r="AI14" s="22"/>
      <c r="AO14" s="23"/>
      <c r="AP14" s="23"/>
      <c r="AQ14" s="23"/>
      <c r="BG14" s="23"/>
      <c r="BI14" s="22"/>
    </row>
    <row r="15" spans="1:67" customFormat="1" ht="16.5">
      <c r="I15" s="22"/>
      <c r="R15" s="22"/>
      <c r="Z15" s="23"/>
      <c r="AA15" s="23"/>
      <c r="AB15" s="23"/>
      <c r="AC15" s="23"/>
      <c r="AD15" s="23"/>
      <c r="AE15" s="23"/>
      <c r="AF15" s="23"/>
      <c r="AI15" s="22"/>
      <c r="AO15" s="23"/>
      <c r="AP15" s="23"/>
      <c r="AQ15" s="23"/>
      <c r="BG15" s="23"/>
      <c r="BI15" s="22"/>
    </row>
    <row r="16" spans="1:67" customFormat="1" ht="16.5">
      <c r="I16" s="22"/>
      <c r="R16" s="22"/>
      <c r="Z16" s="23"/>
      <c r="AA16" s="23"/>
      <c r="AB16" s="23"/>
      <c r="AC16" s="23"/>
      <c r="AD16" s="23"/>
      <c r="AE16" s="23"/>
      <c r="AF16" s="23"/>
      <c r="AI16" s="22"/>
      <c r="AO16" s="23"/>
      <c r="AP16" s="23"/>
      <c r="AQ16" s="23"/>
      <c r="BG16" s="23"/>
      <c r="BI16" s="22"/>
    </row>
    <row r="17" spans="9:65" customFormat="1" ht="16.5">
      <c r="I17" s="22"/>
      <c r="R17" s="22"/>
      <c r="Z17" s="23"/>
      <c r="AA17" s="23"/>
      <c r="AB17" s="23"/>
      <c r="AC17" s="23"/>
      <c r="AD17" s="23"/>
      <c r="AE17" s="23"/>
      <c r="AF17" s="23"/>
      <c r="AI17" s="22"/>
      <c r="AO17" s="23"/>
      <c r="AP17" s="23"/>
      <c r="AQ17" s="23"/>
      <c r="BG17" s="23"/>
      <c r="BI17" s="22"/>
    </row>
    <row r="18" spans="9:65" customFormat="1" ht="16.5">
      <c r="I18" s="22"/>
      <c r="R18" s="22"/>
      <c r="Z18" s="23"/>
      <c r="AA18" s="23"/>
      <c r="AB18" s="23"/>
      <c r="AC18" s="23"/>
      <c r="AD18" s="23"/>
      <c r="AE18" s="23"/>
      <c r="AF18" s="23"/>
      <c r="AI18" s="22"/>
      <c r="AO18" s="23"/>
      <c r="AP18" s="23"/>
      <c r="AQ18" s="23"/>
      <c r="BG18" s="23"/>
      <c r="BI18" s="22"/>
      <c r="BJ18" s="22"/>
      <c r="BK18" s="22"/>
      <c r="BL18" s="22"/>
      <c r="BM18" s="22"/>
    </row>
    <row r="19" spans="9:65" customFormat="1" ht="16.5">
      <c r="I19" s="22"/>
      <c r="R19" s="22"/>
      <c r="Z19" s="23"/>
      <c r="AA19" s="23"/>
      <c r="AB19" s="23"/>
      <c r="AC19" s="23"/>
      <c r="AD19" s="23"/>
      <c r="AE19" s="23"/>
      <c r="AF19" s="23"/>
      <c r="AI19" s="22"/>
      <c r="AO19" s="23"/>
      <c r="AP19" s="23"/>
      <c r="AQ19" s="23"/>
      <c r="BG19" s="23"/>
      <c r="BI19" s="22"/>
      <c r="BJ19" s="22"/>
      <c r="BK19" s="22"/>
      <c r="BL19" s="22"/>
      <c r="BM19" s="22"/>
    </row>
    <row r="20" spans="9:65" customFormat="1" ht="16.5">
      <c r="I20" s="22"/>
      <c r="R20" s="22"/>
      <c r="Z20" s="23"/>
      <c r="AA20" s="23"/>
      <c r="AB20" s="23"/>
      <c r="AC20" s="23"/>
      <c r="AD20" s="23"/>
      <c r="AE20" s="23"/>
      <c r="AF20" s="23"/>
      <c r="AI20" s="22"/>
      <c r="AO20" s="23"/>
      <c r="AP20" s="23"/>
      <c r="AQ20" s="23"/>
      <c r="BG20" s="23"/>
      <c r="BI20" s="22"/>
    </row>
    <row r="21" spans="9:65" customFormat="1" ht="16.5">
      <c r="I21" s="22"/>
      <c r="R21" s="22"/>
      <c r="Z21" s="23"/>
      <c r="AA21" s="23"/>
      <c r="AB21" s="23"/>
      <c r="AC21" s="23"/>
      <c r="AD21" s="23"/>
      <c r="AE21" s="23"/>
      <c r="AF21" s="23"/>
      <c r="AI21" s="22"/>
      <c r="AO21" s="23"/>
      <c r="AP21" s="23"/>
      <c r="AQ21" s="23"/>
      <c r="BG21" s="23"/>
      <c r="BI21" s="22"/>
    </row>
    <row r="22" spans="9:65" customFormat="1" ht="16.5">
      <c r="I22" s="22"/>
      <c r="R22" s="22"/>
      <c r="Z22" s="23"/>
      <c r="AA22" s="23"/>
      <c r="AB22" s="23"/>
      <c r="AC22" s="23"/>
      <c r="AD22" s="23"/>
      <c r="AE22" s="23"/>
      <c r="AF22" s="23"/>
      <c r="AI22" s="22"/>
      <c r="AO22" s="23"/>
      <c r="AP22" s="23"/>
      <c r="AQ22" s="23"/>
      <c r="BG22" s="23"/>
      <c r="BI22" s="22"/>
    </row>
    <row r="23" spans="9:65" customFormat="1" ht="16.5">
      <c r="I23" s="22"/>
      <c r="R23" s="22"/>
      <c r="Z23" s="23"/>
      <c r="AA23" s="23"/>
      <c r="AB23" s="23"/>
      <c r="AC23" s="23"/>
      <c r="AD23" s="23"/>
      <c r="AE23" s="23"/>
      <c r="AF23" s="23"/>
      <c r="AI23" s="22"/>
      <c r="AO23" s="23"/>
      <c r="AP23" s="23"/>
      <c r="AQ23" s="23"/>
      <c r="BG23" s="23"/>
      <c r="BI23" s="22"/>
    </row>
    <row r="24" spans="9:65" customFormat="1" ht="16.5">
      <c r="I24" s="22"/>
      <c r="R24" s="22"/>
      <c r="Z24" s="23"/>
      <c r="AA24" s="23"/>
      <c r="AB24" s="23"/>
      <c r="AC24" s="23"/>
      <c r="AD24" s="23"/>
      <c r="AE24" s="23"/>
      <c r="AF24" s="23"/>
      <c r="AI24" s="22"/>
      <c r="AO24" s="23"/>
      <c r="AP24" s="23"/>
      <c r="AQ24" s="23"/>
      <c r="BG24" s="23"/>
      <c r="BI24" s="22"/>
    </row>
    <row r="25" spans="9:65" customFormat="1" ht="16.5">
      <c r="I25" s="22"/>
      <c r="R25" s="22"/>
      <c r="Z25" s="23"/>
      <c r="AA25" s="23"/>
      <c r="AB25" s="23"/>
      <c r="AC25" s="23"/>
      <c r="AD25" s="23"/>
      <c r="AE25" s="23"/>
      <c r="AF25" s="23"/>
      <c r="AI25" s="22"/>
      <c r="AO25" s="23"/>
      <c r="AP25" s="23"/>
      <c r="AQ25" s="23"/>
      <c r="BG25" s="23"/>
      <c r="BI25" s="22"/>
    </row>
    <row r="26" spans="9:65" customFormat="1" ht="16.5">
      <c r="I26" s="22"/>
      <c r="R26" s="22"/>
      <c r="Z26" s="23"/>
      <c r="AA26" s="23"/>
      <c r="AB26" s="23"/>
      <c r="AC26" s="23"/>
      <c r="AD26" s="23"/>
      <c r="AE26" s="23"/>
      <c r="AF26" s="23"/>
      <c r="AI26" s="22"/>
      <c r="AO26" s="23"/>
      <c r="AP26" s="23"/>
      <c r="AQ26" s="23"/>
      <c r="BG26" s="23"/>
      <c r="BI26" s="22"/>
      <c r="BJ26" s="22"/>
      <c r="BK26" s="22"/>
      <c r="BL26" s="22"/>
      <c r="BM26" s="22"/>
    </row>
    <row r="27" spans="9:65" customFormat="1" ht="16.5">
      <c r="I27" s="22"/>
      <c r="R27" s="22"/>
      <c r="Z27" s="23"/>
      <c r="AA27" s="23"/>
      <c r="AB27" s="23"/>
      <c r="AC27" s="23"/>
      <c r="AD27" s="23"/>
      <c r="AE27" s="23"/>
      <c r="AF27" s="23"/>
      <c r="AI27" s="22"/>
      <c r="AO27" s="23"/>
      <c r="AP27" s="23"/>
      <c r="AQ27" s="23"/>
      <c r="BG27" s="23"/>
      <c r="BI27" s="22"/>
    </row>
    <row r="28" spans="9:65" customFormat="1" ht="16.5">
      <c r="I28" s="22"/>
      <c r="R28" s="22"/>
      <c r="Z28" s="23"/>
      <c r="AA28" s="23"/>
      <c r="AB28" s="23"/>
      <c r="AC28" s="23"/>
      <c r="AD28" s="23"/>
      <c r="AE28" s="23"/>
      <c r="AF28" s="23"/>
      <c r="AI28" s="22"/>
      <c r="AO28" s="23"/>
      <c r="AP28" s="23"/>
      <c r="AQ28" s="23"/>
      <c r="BG28" s="23"/>
      <c r="BI28" s="22"/>
    </row>
    <row r="29" spans="9:65" customFormat="1" ht="16.5">
      <c r="I29" s="22"/>
      <c r="R29" s="22"/>
      <c r="Z29" s="23"/>
      <c r="AA29" s="23"/>
      <c r="AB29" s="23"/>
      <c r="AC29" s="23"/>
      <c r="AD29" s="23"/>
      <c r="AE29" s="23"/>
      <c r="AF29" s="23"/>
      <c r="AI29" s="22"/>
      <c r="AO29" s="23"/>
      <c r="AP29" s="23"/>
      <c r="AQ29" s="23"/>
      <c r="BG29" s="23"/>
      <c r="BI29" s="22"/>
    </row>
    <row r="30" spans="9:65" customFormat="1" ht="16.5">
      <c r="I30" s="22"/>
      <c r="R30" s="22"/>
      <c r="Z30" s="23"/>
      <c r="AA30" s="23"/>
      <c r="AB30" s="23"/>
      <c r="AC30" s="23"/>
      <c r="AD30" s="23"/>
      <c r="AE30" s="23"/>
      <c r="AF30" s="23"/>
      <c r="AI30" s="22"/>
      <c r="AO30" s="23"/>
      <c r="AP30" s="23"/>
      <c r="AQ30" s="23"/>
      <c r="BG30" s="23"/>
      <c r="BI30" s="22"/>
    </row>
    <row r="31" spans="9:65" customFormat="1" ht="16.5">
      <c r="I31" s="22"/>
      <c r="R31" s="22"/>
      <c r="Z31" s="23"/>
      <c r="AA31" s="23"/>
      <c r="AB31" s="23"/>
      <c r="AC31" s="23"/>
      <c r="AD31" s="23"/>
      <c r="AE31" s="23"/>
      <c r="AF31" s="23"/>
      <c r="AI31" s="22"/>
      <c r="AO31" s="23"/>
      <c r="AP31" s="23"/>
      <c r="AQ31" s="23"/>
      <c r="BG31" s="23"/>
      <c r="BI31" s="22"/>
    </row>
    <row r="32" spans="9:65" customFormat="1" ht="16.5">
      <c r="I32" s="22"/>
      <c r="R32" s="22"/>
      <c r="Z32" s="23"/>
      <c r="AA32" s="23"/>
      <c r="AB32" s="23"/>
      <c r="AC32" s="23"/>
      <c r="AD32" s="23"/>
      <c r="AE32" s="23"/>
      <c r="AF32" s="23"/>
      <c r="AI32" s="22"/>
      <c r="AO32" s="23"/>
      <c r="AP32" s="23"/>
      <c r="AQ32" s="23"/>
      <c r="BG32" s="23"/>
      <c r="BI32" s="22"/>
      <c r="BJ32" s="22"/>
      <c r="BK32" s="22"/>
      <c r="BL32" s="22"/>
      <c r="BM32" s="22"/>
    </row>
    <row r="33" spans="9:65" customFormat="1" ht="16.5">
      <c r="I33" s="22"/>
      <c r="R33" s="22"/>
      <c r="Z33" s="23"/>
      <c r="AA33" s="23"/>
      <c r="AB33" s="23"/>
      <c r="AC33" s="23"/>
      <c r="AD33" s="23"/>
      <c r="AE33" s="23"/>
      <c r="AF33" s="23"/>
      <c r="AI33" s="22"/>
      <c r="AO33" s="23"/>
      <c r="AP33" s="23"/>
      <c r="AQ33" s="23"/>
      <c r="BG33" s="23"/>
      <c r="BI33" s="22"/>
      <c r="BJ33" s="22"/>
      <c r="BK33" s="22"/>
      <c r="BL33" s="22"/>
      <c r="BM33" s="22"/>
    </row>
    <row r="34" spans="9:65" customFormat="1" ht="16.5">
      <c r="I34" s="22"/>
      <c r="R34" s="22"/>
      <c r="Z34" s="23"/>
      <c r="AA34" s="23"/>
      <c r="AB34" s="23"/>
      <c r="AC34" s="23"/>
      <c r="AD34" s="23"/>
      <c r="AE34" s="23"/>
      <c r="AF34" s="23"/>
      <c r="AI34" s="22"/>
      <c r="AO34" s="23"/>
      <c r="AP34" s="23"/>
      <c r="AQ34" s="23"/>
      <c r="BG34" s="23"/>
      <c r="BI34" s="22"/>
      <c r="BJ34" s="22"/>
      <c r="BK34" s="22"/>
      <c r="BL34" s="22"/>
      <c r="BM34" s="22"/>
    </row>
    <row r="35" spans="9:65" customFormat="1" ht="16.5">
      <c r="I35" s="22"/>
      <c r="R35" s="22"/>
      <c r="Z35" s="23"/>
      <c r="AA35" s="23"/>
      <c r="AB35" s="23"/>
      <c r="AC35" s="23"/>
      <c r="AD35" s="23"/>
      <c r="AE35" s="23"/>
      <c r="AF35" s="23"/>
      <c r="AI35" s="22"/>
      <c r="AO35" s="23"/>
      <c r="AP35" s="23"/>
      <c r="AQ35" s="23"/>
      <c r="BG35" s="23"/>
      <c r="BI35" s="22"/>
      <c r="BJ35" s="22"/>
      <c r="BK35" s="22"/>
      <c r="BL35" s="22"/>
      <c r="BM35" s="22"/>
    </row>
    <row r="36" spans="9:65" customFormat="1" ht="16.5">
      <c r="I36" s="22"/>
      <c r="R36" s="22"/>
      <c r="Z36" s="23"/>
      <c r="AA36" s="23"/>
      <c r="AB36" s="23"/>
      <c r="AC36" s="23"/>
      <c r="AD36" s="23"/>
      <c r="AE36" s="23"/>
      <c r="AF36" s="23"/>
      <c r="AI36" s="22"/>
      <c r="AO36" s="23"/>
      <c r="AP36" s="23"/>
      <c r="AQ36" s="23"/>
      <c r="BG36" s="23"/>
      <c r="BI36" s="22"/>
      <c r="BJ36" s="22"/>
      <c r="BK36" s="22"/>
      <c r="BL36" s="22"/>
      <c r="BM36" s="22"/>
    </row>
    <row r="37" spans="9:65" customFormat="1" ht="16.5">
      <c r="I37" s="22"/>
      <c r="R37" s="22"/>
      <c r="Z37" s="23"/>
      <c r="AA37" s="23"/>
      <c r="AB37" s="23"/>
      <c r="AC37" s="23"/>
      <c r="AD37" s="23"/>
      <c r="AE37" s="23"/>
      <c r="AF37" s="23"/>
      <c r="AI37" s="22"/>
      <c r="AO37" s="23"/>
      <c r="AP37" s="23"/>
      <c r="AQ37" s="23"/>
      <c r="BG37" s="23"/>
      <c r="BI37" s="22"/>
      <c r="BJ37" s="22"/>
      <c r="BK37" s="22"/>
      <c r="BL37" s="22"/>
      <c r="BM37" s="22"/>
    </row>
    <row r="38" spans="9:65" customFormat="1" ht="16.5">
      <c r="I38" s="22"/>
      <c r="R38" s="22"/>
      <c r="Z38" s="23"/>
      <c r="AA38" s="23"/>
      <c r="AB38" s="23"/>
      <c r="AC38" s="23"/>
      <c r="AD38" s="23"/>
      <c r="AE38" s="23"/>
      <c r="AF38" s="23"/>
      <c r="AI38" s="22"/>
      <c r="AO38" s="23"/>
      <c r="AP38" s="23"/>
      <c r="AQ38" s="23"/>
      <c r="BG38" s="23"/>
      <c r="BI38" s="22"/>
      <c r="BJ38" s="22"/>
      <c r="BK38" s="22"/>
      <c r="BL38" s="22"/>
      <c r="BM38" s="22"/>
    </row>
    <row r="39" spans="9:65" customFormat="1" ht="16.5">
      <c r="I39" s="22"/>
      <c r="R39" s="22"/>
      <c r="Z39" s="23"/>
      <c r="AA39" s="23"/>
      <c r="AB39" s="23"/>
      <c r="AC39" s="23"/>
      <c r="AD39" s="23"/>
      <c r="AE39" s="23"/>
      <c r="AF39" s="23"/>
      <c r="AI39" s="22"/>
      <c r="AO39" s="23"/>
      <c r="AP39" s="23"/>
      <c r="AQ39" s="23"/>
      <c r="BG39" s="23"/>
      <c r="BI39" s="22"/>
      <c r="BJ39" s="22"/>
      <c r="BK39" s="22"/>
      <c r="BL39" s="22"/>
      <c r="BM39" s="22"/>
    </row>
    <row r="40" spans="9:65" customFormat="1" ht="16.5">
      <c r="I40" s="22"/>
      <c r="R40" s="22"/>
      <c r="Z40" s="23"/>
      <c r="AA40" s="23"/>
      <c r="AB40" s="23"/>
      <c r="AC40" s="23"/>
      <c r="AD40" s="23"/>
      <c r="AE40" s="23"/>
      <c r="AF40" s="23"/>
      <c r="AI40" s="22"/>
      <c r="AO40" s="23"/>
      <c r="AP40" s="23"/>
      <c r="AQ40" s="23"/>
      <c r="BG40" s="23"/>
      <c r="BI40" s="22"/>
      <c r="BJ40" s="22"/>
      <c r="BK40" s="22"/>
      <c r="BL40" s="22"/>
      <c r="BM40" s="22"/>
    </row>
    <row r="41" spans="9:65" customFormat="1" ht="16.5">
      <c r="I41" s="22"/>
      <c r="R41" s="22"/>
      <c r="Z41" s="23"/>
      <c r="AA41" s="23"/>
      <c r="AB41" s="23"/>
      <c r="AC41" s="23"/>
      <c r="AD41" s="23"/>
      <c r="AE41" s="23"/>
      <c r="AF41" s="23"/>
      <c r="AI41" s="22"/>
      <c r="AO41" s="23"/>
      <c r="AP41" s="23"/>
      <c r="AQ41" s="23"/>
      <c r="BG41" s="23"/>
      <c r="BI41" s="22"/>
      <c r="BJ41" s="22"/>
      <c r="BK41" s="22"/>
      <c r="BL41" s="22"/>
      <c r="BM41" s="22"/>
    </row>
    <row r="42" spans="9:65" customFormat="1" ht="16.5">
      <c r="I42" s="22"/>
      <c r="R42" s="22"/>
      <c r="Z42" s="23"/>
      <c r="AA42" s="23"/>
      <c r="AB42" s="23"/>
      <c r="AC42" s="23"/>
      <c r="AD42" s="23"/>
      <c r="AE42" s="23"/>
      <c r="AF42" s="23"/>
      <c r="AI42" s="22"/>
      <c r="AO42" s="23"/>
      <c r="AP42" s="23"/>
      <c r="AQ42" s="23"/>
      <c r="BG42" s="23"/>
      <c r="BI42" s="22"/>
      <c r="BJ42" s="22"/>
      <c r="BK42" s="22"/>
      <c r="BL42" s="22"/>
      <c r="BM42" s="22"/>
    </row>
    <row r="43" spans="9:65" customFormat="1" ht="16.5">
      <c r="I43" s="22"/>
      <c r="R43" s="22"/>
      <c r="Z43" s="23"/>
      <c r="AA43" s="23"/>
      <c r="AB43" s="23"/>
      <c r="AC43" s="23"/>
      <c r="AD43" s="23"/>
      <c r="AE43" s="23"/>
      <c r="AF43" s="23"/>
      <c r="AI43" s="22"/>
      <c r="AO43" s="23"/>
      <c r="AP43" s="23"/>
      <c r="AQ43" s="23"/>
      <c r="BG43" s="23"/>
      <c r="BI43" s="22"/>
      <c r="BJ43" s="22"/>
      <c r="BK43" s="22"/>
      <c r="BL43" s="22"/>
      <c r="BM43" s="22"/>
    </row>
    <row r="44" spans="9:65" customFormat="1" ht="16.5">
      <c r="I44" s="22"/>
      <c r="R44" s="22"/>
      <c r="Z44" s="23"/>
      <c r="AA44" s="23"/>
      <c r="AB44" s="23"/>
      <c r="AC44" s="23"/>
      <c r="AD44" s="23"/>
      <c r="AE44" s="23"/>
      <c r="AF44" s="23"/>
      <c r="AI44" s="22"/>
      <c r="AO44" s="23"/>
      <c r="AP44" s="23"/>
      <c r="AQ44" s="23"/>
      <c r="BG44" s="23"/>
      <c r="BI44" s="22"/>
      <c r="BJ44" s="22"/>
      <c r="BK44" s="22"/>
      <c r="BL44" s="22"/>
      <c r="BM44" s="22"/>
    </row>
    <row r="45" spans="9:65" customFormat="1" ht="16.5">
      <c r="I45" s="22"/>
      <c r="R45" s="22"/>
      <c r="Z45" s="23"/>
      <c r="AA45" s="23"/>
      <c r="AB45" s="23"/>
      <c r="AC45" s="23"/>
      <c r="AD45" s="23"/>
      <c r="AE45" s="23"/>
      <c r="AF45" s="23"/>
      <c r="AI45" s="22"/>
      <c r="AO45" s="23"/>
      <c r="AP45" s="23"/>
      <c r="AQ45" s="23"/>
      <c r="BG45" s="23"/>
      <c r="BI45" s="22"/>
      <c r="BJ45" s="22"/>
      <c r="BK45" s="22"/>
      <c r="BL45" s="22"/>
      <c r="BM45" s="22"/>
    </row>
    <row r="46" spans="9:65" customFormat="1" ht="16.5">
      <c r="I46" s="22"/>
      <c r="R46" s="22"/>
      <c r="Z46" s="23"/>
      <c r="AA46" s="23"/>
      <c r="AB46" s="23"/>
      <c r="AC46" s="23"/>
      <c r="AD46" s="23"/>
      <c r="AE46" s="23"/>
      <c r="AF46" s="23"/>
      <c r="AI46" s="22"/>
      <c r="AO46" s="23"/>
      <c r="AP46" s="23"/>
      <c r="AQ46" s="23"/>
      <c r="BG46" s="23"/>
      <c r="BI46" s="22"/>
      <c r="BJ46" s="22"/>
      <c r="BK46" s="22"/>
      <c r="BL46" s="22"/>
      <c r="BM46" s="22"/>
    </row>
    <row r="47" spans="9:65" customFormat="1" ht="16.5">
      <c r="I47" s="22"/>
      <c r="R47" s="22"/>
      <c r="Z47" s="23"/>
      <c r="AA47" s="23"/>
      <c r="AB47" s="23"/>
      <c r="AC47" s="23"/>
      <c r="AD47" s="23"/>
      <c r="AE47" s="23"/>
      <c r="AF47" s="23"/>
      <c r="AI47" s="22"/>
      <c r="AO47" s="23"/>
      <c r="AP47" s="23"/>
      <c r="AQ47" s="23"/>
      <c r="BG47" s="23"/>
      <c r="BI47" s="22"/>
      <c r="BJ47" s="22"/>
      <c r="BK47" s="22"/>
      <c r="BL47" s="22"/>
      <c r="BM47" s="22"/>
    </row>
    <row r="48" spans="9:65" customFormat="1" ht="16.5">
      <c r="I48" s="22"/>
      <c r="R48" s="22"/>
      <c r="Z48" s="23"/>
      <c r="AA48" s="23"/>
      <c r="AB48" s="23"/>
      <c r="AC48" s="23"/>
      <c r="AD48" s="23"/>
      <c r="AE48" s="23"/>
      <c r="AF48" s="23"/>
      <c r="AI48" s="22"/>
      <c r="AO48" s="23"/>
      <c r="AP48" s="23"/>
      <c r="AQ48" s="23"/>
      <c r="BG48" s="23"/>
      <c r="BI48" s="22"/>
      <c r="BJ48" s="22"/>
      <c r="BK48" s="22"/>
      <c r="BL48" s="22"/>
      <c r="BM48" s="22"/>
    </row>
    <row r="49" spans="9:65" customFormat="1" ht="16.5">
      <c r="I49" s="22"/>
      <c r="R49" s="22"/>
      <c r="Z49" s="23"/>
      <c r="AA49" s="23"/>
      <c r="AB49" s="23"/>
      <c r="AC49" s="23"/>
      <c r="AD49" s="23"/>
      <c r="AE49" s="23"/>
      <c r="AF49" s="23"/>
      <c r="AI49" s="22"/>
      <c r="AO49" s="23"/>
      <c r="AP49" s="23"/>
      <c r="AQ49" s="23"/>
      <c r="BG49" s="23"/>
      <c r="BI49" s="22"/>
      <c r="BJ49" s="22"/>
      <c r="BK49" s="22"/>
      <c r="BL49" s="22"/>
      <c r="BM49" s="22"/>
    </row>
    <row r="50" spans="9:65" customFormat="1" ht="16.5">
      <c r="I50" s="22"/>
      <c r="R50" s="22"/>
      <c r="Z50" s="23"/>
      <c r="AA50" s="23"/>
      <c r="AB50" s="23"/>
      <c r="AC50" s="23"/>
      <c r="AD50" s="23"/>
      <c r="AE50" s="23"/>
      <c r="AF50" s="23"/>
      <c r="AI50" s="22"/>
      <c r="AO50" s="23"/>
      <c r="AP50" s="23"/>
      <c r="AQ50" s="23"/>
      <c r="BG50" s="23"/>
      <c r="BI50" s="22"/>
      <c r="BJ50" s="22"/>
      <c r="BK50" s="22"/>
      <c r="BL50" s="22"/>
      <c r="BM50" s="22"/>
    </row>
    <row r="51" spans="9:65" customFormat="1" ht="16.5">
      <c r="I51" s="22"/>
      <c r="R51" s="22"/>
      <c r="Z51" s="23"/>
      <c r="AA51" s="23"/>
      <c r="AB51" s="23"/>
      <c r="AC51" s="23"/>
      <c r="AD51" s="23"/>
      <c r="AE51" s="23"/>
      <c r="AF51" s="23"/>
      <c r="AI51" s="22"/>
      <c r="AO51" s="23"/>
      <c r="AP51" s="23"/>
      <c r="AQ51" s="23"/>
      <c r="BG51" s="23"/>
      <c r="BI51" s="22"/>
      <c r="BJ51" s="22"/>
      <c r="BK51" s="22"/>
      <c r="BL51" s="22"/>
      <c r="BM51" s="22"/>
    </row>
    <row r="52" spans="9:65" customFormat="1" ht="16.5">
      <c r="I52" s="22"/>
      <c r="R52" s="22"/>
      <c r="Z52" s="23"/>
      <c r="AA52" s="23"/>
      <c r="AB52" s="23"/>
      <c r="AC52" s="23"/>
      <c r="AD52" s="23"/>
      <c r="AE52" s="23"/>
      <c r="AF52" s="23"/>
      <c r="AI52" s="22"/>
      <c r="AO52" s="23"/>
      <c r="AP52" s="23"/>
      <c r="AQ52" s="23"/>
      <c r="BG52" s="23"/>
      <c r="BI52" s="22"/>
      <c r="BJ52" s="22"/>
      <c r="BK52" s="22"/>
      <c r="BL52" s="22"/>
      <c r="BM52" s="22"/>
    </row>
    <row r="53" spans="9:65" customFormat="1" ht="16.5">
      <c r="I53" s="22"/>
      <c r="R53" s="22"/>
      <c r="Z53" s="23"/>
      <c r="AA53" s="23"/>
      <c r="AB53" s="23"/>
      <c r="AC53" s="23"/>
      <c r="AD53" s="23"/>
      <c r="AE53" s="23"/>
      <c r="AF53" s="23"/>
      <c r="AI53" s="22"/>
      <c r="AO53" s="23"/>
      <c r="AP53" s="23"/>
      <c r="AQ53" s="23"/>
      <c r="BG53" s="23"/>
      <c r="BI53" s="22"/>
    </row>
    <row r="54" spans="9:65" customFormat="1" ht="16.5">
      <c r="I54" s="22"/>
      <c r="R54" s="22"/>
      <c r="Z54" s="23"/>
      <c r="AA54" s="23"/>
      <c r="AB54" s="23"/>
      <c r="AC54" s="23"/>
      <c r="AD54" s="23"/>
      <c r="AE54" s="23"/>
      <c r="AF54" s="23"/>
      <c r="AI54" s="22"/>
      <c r="AO54" s="23"/>
      <c r="AP54" s="23"/>
      <c r="AQ54" s="23"/>
      <c r="BG54" s="23"/>
      <c r="BI54" s="22"/>
    </row>
    <row r="55" spans="9:65" customFormat="1" ht="16.5">
      <c r="I55" s="22"/>
      <c r="R55" s="22"/>
      <c r="Z55" s="23"/>
      <c r="AA55" s="23"/>
      <c r="AB55" s="23"/>
      <c r="AC55" s="23"/>
      <c r="AD55" s="23"/>
      <c r="AE55" s="23"/>
      <c r="AF55" s="23"/>
      <c r="AI55" s="22"/>
      <c r="AO55" s="23"/>
      <c r="AP55" s="23"/>
      <c r="AQ55" s="23"/>
      <c r="BG55" s="23"/>
      <c r="BI55" s="22"/>
    </row>
    <row r="56" spans="9:65" customFormat="1" ht="16.5">
      <c r="I56" s="22"/>
      <c r="R56" s="22"/>
      <c r="Z56" s="23"/>
      <c r="AA56" s="23"/>
      <c r="AB56" s="23"/>
      <c r="AC56" s="23"/>
      <c r="AD56" s="23"/>
      <c r="AE56" s="23"/>
      <c r="AF56" s="23"/>
      <c r="AI56" s="22"/>
      <c r="AO56" s="23"/>
      <c r="AP56" s="23"/>
      <c r="AQ56" s="23"/>
      <c r="BG56" s="23"/>
      <c r="BI56" s="22"/>
    </row>
    <row r="57" spans="9:65" customFormat="1" ht="16.5">
      <c r="I57" s="22"/>
      <c r="R57" s="22"/>
      <c r="Z57" s="23"/>
      <c r="AA57" s="23"/>
      <c r="AB57" s="23"/>
      <c r="AC57" s="23"/>
      <c r="AD57" s="23"/>
      <c r="AE57" s="23"/>
      <c r="AF57" s="23"/>
      <c r="AI57" s="22"/>
      <c r="AO57" s="23"/>
      <c r="AP57" s="23"/>
      <c r="AQ57" s="23"/>
      <c r="BG57" s="23"/>
      <c r="BI57" s="22"/>
    </row>
    <row r="58" spans="9:65" customFormat="1" ht="16.5">
      <c r="I58" s="22"/>
      <c r="R58" s="22"/>
      <c r="Z58" s="23"/>
      <c r="AA58" s="23"/>
      <c r="AB58" s="23"/>
      <c r="AC58" s="23"/>
      <c r="AD58" s="23"/>
      <c r="AE58" s="23"/>
      <c r="AF58" s="23"/>
      <c r="AI58" s="22"/>
      <c r="AO58" s="23"/>
      <c r="AP58" s="23"/>
      <c r="AQ58" s="23"/>
      <c r="BG58" s="23"/>
      <c r="BI58" s="22"/>
    </row>
    <row r="59" spans="9:65" customFormat="1" ht="16.5">
      <c r="I59" s="22"/>
      <c r="R59" s="22"/>
      <c r="Z59" s="23"/>
      <c r="AA59" s="23"/>
      <c r="AB59" s="23"/>
      <c r="AC59" s="23"/>
      <c r="AD59" s="23"/>
      <c r="AE59" s="23"/>
      <c r="AF59" s="23"/>
      <c r="AI59" s="22"/>
      <c r="AO59" s="23"/>
      <c r="AP59" s="23"/>
      <c r="AQ59" s="23"/>
      <c r="BG59" s="23"/>
      <c r="BI59" s="22"/>
    </row>
    <row r="60" spans="9:65" customFormat="1" ht="16.5">
      <c r="I60" s="22"/>
      <c r="R60" s="22"/>
      <c r="Z60" s="23"/>
      <c r="AA60" s="23"/>
      <c r="AB60" s="23"/>
      <c r="AC60" s="23"/>
      <c r="AD60" s="23"/>
      <c r="AE60" s="23"/>
      <c r="AF60" s="23"/>
      <c r="AI60" s="22"/>
      <c r="AO60" s="23"/>
      <c r="AP60" s="23"/>
      <c r="AQ60" s="23"/>
      <c r="BG60" s="23"/>
      <c r="BI60" s="22"/>
    </row>
    <row r="61" spans="9:65" customFormat="1" ht="16.5">
      <c r="I61" s="22"/>
      <c r="R61" s="22"/>
      <c r="Z61" s="23"/>
      <c r="AA61" s="23"/>
      <c r="AB61" s="23"/>
      <c r="AC61" s="23"/>
      <c r="AD61" s="23"/>
      <c r="AE61" s="23"/>
      <c r="AF61" s="23"/>
      <c r="AI61" s="22"/>
      <c r="AO61" s="23"/>
      <c r="AP61" s="23"/>
      <c r="AQ61" s="23"/>
      <c r="BG61" s="23"/>
      <c r="BI61" s="22"/>
    </row>
    <row r="62" spans="9:65" customFormat="1" ht="16.5">
      <c r="I62" s="22"/>
      <c r="R62" s="22"/>
      <c r="Z62" s="23"/>
      <c r="AA62" s="23"/>
      <c r="AB62" s="23"/>
      <c r="AC62" s="23"/>
      <c r="AD62" s="23"/>
      <c r="AE62" s="23"/>
      <c r="AF62" s="23"/>
      <c r="AI62" s="22"/>
      <c r="AO62" s="23"/>
      <c r="AP62" s="23"/>
      <c r="AQ62" s="23"/>
      <c r="BG62" s="23"/>
      <c r="BI62" s="22"/>
    </row>
    <row r="63" spans="9:65" customFormat="1" ht="16.5">
      <c r="I63" s="22"/>
      <c r="R63" s="22"/>
      <c r="Z63" s="23"/>
      <c r="AA63" s="23"/>
      <c r="AB63" s="23"/>
      <c r="AC63" s="23"/>
      <c r="AD63" s="23"/>
      <c r="AE63" s="23"/>
      <c r="AF63" s="23"/>
      <c r="AI63" s="22"/>
      <c r="AO63" s="23"/>
      <c r="AP63" s="23"/>
      <c r="AQ63" s="23"/>
      <c r="BG63" s="23"/>
      <c r="BI63" s="22"/>
    </row>
    <row r="64" spans="9:65" customFormat="1" ht="16.5">
      <c r="I64" s="22"/>
      <c r="R64" s="22"/>
      <c r="Z64" s="23"/>
      <c r="AA64" s="23"/>
      <c r="AB64" s="23"/>
      <c r="AC64" s="23"/>
      <c r="AD64" s="23"/>
      <c r="AE64" s="23"/>
      <c r="AF64" s="23"/>
      <c r="AI64" s="22"/>
      <c r="AO64" s="23"/>
      <c r="AP64" s="23"/>
      <c r="AQ64" s="23"/>
      <c r="BG64" s="23"/>
      <c r="BI64" s="22"/>
    </row>
    <row r="65" spans="9:65" customFormat="1" ht="16.5">
      <c r="I65" s="22"/>
      <c r="R65" s="22"/>
      <c r="Z65" s="23"/>
      <c r="AA65" s="23"/>
      <c r="AB65" s="23"/>
      <c r="AC65" s="23"/>
      <c r="AD65" s="23"/>
      <c r="AE65" s="23"/>
      <c r="AF65" s="23"/>
      <c r="AI65" s="22"/>
      <c r="AO65" s="23"/>
      <c r="AP65" s="23"/>
      <c r="AQ65" s="23"/>
      <c r="BG65" s="23"/>
      <c r="BI65" s="22"/>
    </row>
    <row r="66" spans="9:65" customFormat="1" ht="16.5">
      <c r="I66" s="22"/>
      <c r="R66" s="22"/>
      <c r="Z66" s="23"/>
      <c r="AA66" s="23"/>
      <c r="AB66" s="23"/>
      <c r="AC66" s="23"/>
      <c r="AD66" s="23"/>
      <c r="AE66" s="23"/>
      <c r="AF66" s="23"/>
      <c r="AI66" s="22"/>
      <c r="AO66" s="23"/>
      <c r="AP66" s="23"/>
      <c r="AQ66" s="23"/>
      <c r="BG66" s="23"/>
      <c r="BI66" s="22"/>
    </row>
    <row r="67" spans="9:65" customFormat="1" ht="16.5">
      <c r="I67" s="22"/>
      <c r="R67" s="22"/>
      <c r="Z67" s="23"/>
      <c r="AA67" s="23"/>
      <c r="AB67" s="23"/>
      <c r="AC67" s="23"/>
      <c r="AD67" s="23"/>
      <c r="AE67" s="23"/>
      <c r="AF67" s="23"/>
      <c r="AI67" s="22"/>
      <c r="AO67" s="23"/>
      <c r="AP67" s="23"/>
      <c r="AQ67" s="23"/>
      <c r="BG67" s="23"/>
      <c r="BI67" s="22"/>
      <c r="BJ67" s="22"/>
      <c r="BK67" s="22"/>
      <c r="BL67" s="22"/>
      <c r="BM67" s="22"/>
    </row>
    <row r="68" spans="9:65" customFormat="1" ht="16.5">
      <c r="I68" s="22"/>
      <c r="R68" s="22"/>
      <c r="Z68" s="23"/>
      <c r="AA68" s="23"/>
      <c r="AB68" s="23"/>
      <c r="AC68" s="23"/>
      <c r="AD68" s="23"/>
      <c r="AE68" s="23"/>
      <c r="AF68" s="23"/>
      <c r="AI68" s="22"/>
      <c r="AO68" s="23"/>
      <c r="AP68" s="23"/>
      <c r="AQ68" s="23"/>
      <c r="BG68" s="23"/>
      <c r="BI68" s="22"/>
      <c r="BJ68" s="22"/>
      <c r="BK68" s="22"/>
      <c r="BL68" s="22"/>
      <c r="BM68" s="22"/>
    </row>
    <row r="69" spans="9:65" customFormat="1" ht="16.5">
      <c r="I69" s="22"/>
      <c r="R69" s="22"/>
      <c r="Z69" s="23"/>
      <c r="AA69" s="23"/>
      <c r="AB69" s="23"/>
      <c r="AC69" s="23"/>
      <c r="AD69" s="23"/>
      <c r="AE69" s="23"/>
      <c r="AF69" s="23"/>
      <c r="AI69" s="22"/>
      <c r="AO69" s="23"/>
      <c r="AP69" s="23"/>
      <c r="AQ69" s="23"/>
      <c r="BG69" s="23"/>
      <c r="BI69" s="22"/>
      <c r="BJ69" s="22"/>
      <c r="BK69" s="22"/>
      <c r="BL69" s="22"/>
      <c r="BM69" s="22"/>
    </row>
    <row r="70" spans="9:65" customFormat="1" ht="16.5">
      <c r="I70" s="22"/>
      <c r="R70" s="22"/>
      <c r="Z70" s="23"/>
      <c r="AA70" s="23"/>
      <c r="AB70" s="23"/>
      <c r="AC70" s="23"/>
      <c r="AD70" s="23"/>
      <c r="AE70" s="23"/>
      <c r="AF70" s="23"/>
      <c r="AI70" s="22"/>
      <c r="AO70" s="23"/>
      <c r="AP70" s="23"/>
      <c r="AQ70" s="23"/>
      <c r="BG70" s="23"/>
      <c r="BI70" s="22"/>
      <c r="BJ70" s="22"/>
      <c r="BK70" s="22"/>
      <c r="BL70" s="22"/>
      <c r="BM70" s="22"/>
    </row>
    <row r="71" spans="9:65" customFormat="1" ht="16.5">
      <c r="I71" s="22"/>
      <c r="R71" s="22"/>
      <c r="Z71" s="23"/>
      <c r="AA71" s="23"/>
      <c r="AB71" s="23"/>
      <c r="AC71" s="23"/>
      <c r="AD71" s="23"/>
      <c r="AE71" s="23"/>
      <c r="AF71" s="23"/>
      <c r="AI71" s="22"/>
      <c r="AO71" s="23"/>
      <c r="AP71" s="23"/>
      <c r="AQ71" s="23"/>
      <c r="BG71" s="23"/>
      <c r="BI71" s="22"/>
      <c r="BJ71" s="22"/>
      <c r="BK71" s="22"/>
      <c r="BL71" s="22"/>
      <c r="BM71" s="22"/>
    </row>
    <row r="72" spans="9:65" customFormat="1" ht="16.5">
      <c r="I72" s="22"/>
      <c r="R72" s="22"/>
      <c r="Z72" s="23"/>
      <c r="AA72" s="23"/>
      <c r="AB72" s="23"/>
      <c r="AC72" s="23"/>
      <c r="AD72" s="23"/>
      <c r="AE72" s="23"/>
      <c r="AF72" s="23"/>
      <c r="AI72" s="22"/>
      <c r="AO72" s="23"/>
      <c r="AP72" s="23"/>
      <c r="AQ72" s="23"/>
      <c r="BG72" s="23"/>
      <c r="BI72" s="22"/>
      <c r="BJ72" s="22"/>
      <c r="BK72" s="22"/>
      <c r="BL72" s="22"/>
      <c r="BM72" s="22"/>
    </row>
    <row r="73" spans="9:65" customFormat="1" ht="16.5">
      <c r="I73" s="22"/>
      <c r="R73" s="22"/>
      <c r="Z73" s="23"/>
      <c r="AA73" s="23"/>
      <c r="AB73" s="23"/>
      <c r="AC73" s="23"/>
      <c r="AD73" s="23"/>
      <c r="AE73" s="23"/>
      <c r="AF73" s="23"/>
      <c r="AI73" s="22"/>
      <c r="AO73" s="23"/>
      <c r="AP73" s="23"/>
      <c r="AQ73" s="23"/>
      <c r="BG73" s="23"/>
      <c r="BI73" s="22"/>
    </row>
    <row r="74" spans="9:65" customFormat="1" ht="16.5">
      <c r="I74" s="22"/>
      <c r="R74" s="22"/>
      <c r="Z74" s="23"/>
      <c r="AA74" s="23"/>
      <c r="AB74" s="23"/>
      <c r="AC74" s="23"/>
      <c r="AD74" s="23"/>
      <c r="AE74" s="23"/>
      <c r="AF74" s="23"/>
      <c r="AI74" s="22"/>
      <c r="AO74" s="23"/>
      <c r="AP74" s="23"/>
      <c r="AQ74" s="23"/>
      <c r="BG74" s="23"/>
      <c r="BI74" s="22"/>
    </row>
    <row r="75" spans="9:65" customFormat="1" ht="16.5">
      <c r="I75" s="22"/>
      <c r="R75" s="22"/>
      <c r="Z75" s="23"/>
      <c r="AA75" s="23"/>
      <c r="AB75" s="23"/>
      <c r="AC75" s="23"/>
      <c r="AD75" s="23"/>
      <c r="AE75" s="23"/>
      <c r="AF75" s="23"/>
      <c r="AI75" s="22"/>
      <c r="AO75" s="23"/>
      <c r="AP75" s="23"/>
      <c r="AQ75" s="23"/>
      <c r="BG75" s="23"/>
      <c r="BI75" s="22"/>
    </row>
    <row r="76" spans="9:65" customFormat="1" ht="16.5">
      <c r="I76" s="22"/>
      <c r="R76" s="22"/>
      <c r="Z76" s="23"/>
      <c r="AA76" s="23"/>
      <c r="AB76" s="23"/>
      <c r="AC76" s="23"/>
      <c r="AD76" s="23"/>
      <c r="AE76" s="23"/>
      <c r="AF76" s="23"/>
      <c r="AI76" s="22"/>
      <c r="AO76" s="23"/>
      <c r="AP76" s="23"/>
      <c r="AQ76" s="23"/>
      <c r="BG76" s="23"/>
      <c r="BI76" s="22"/>
    </row>
    <row r="77" spans="9:65" customFormat="1" ht="16.5">
      <c r="I77" s="22"/>
      <c r="R77" s="22"/>
      <c r="Z77" s="23"/>
      <c r="AA77" s="23"/>
      <c r="AB77" s="23"/>
      <c r="AC77" s="23"/>
      <c r="AD77" s="23"/>
      <c r="AE77" s="23"/>
      <c r="AF77" s="23"/>
      <c r="AI77" s="22"/>
      <c r="AO77" s="23"/>
      <c r="AP77" s="23"/>
      <c r="AQ77" s="23"/>
      <c r="BG77" s="23"/>
      <c r="BI77" s="22"/>
    </row>
    <row r="78" spans="9:65" customFormat="1" ht="16.5">
      <c r="I78" s="22"/>
      <c r="R78" s="22"/>
      <c r="Z78" s="23"/>
      <c r="AA78" s="23"/>
      <c r="AB78" s="23"/>
      <c r="AC78" s="23"/>
      <c r="AD78" s="23"/>
      <c r="AE78" s="23"/>
      <c r="AF78" s="23"/>
      <c r="AI78" s="22"/>
      <c r="AO78" s="23"/>
      <c r="AP78" s="23"/>
      <c r="AQ78" s="23"/>
      <c r="BG78" s="23"/>
      <c r="BI78" s="22"/>
    </row>
    <row r="79" spans="9:65" customFormat="1" ht="16.5">
      <c r="I79" s="22"/>
      <c r="R79" s="22"/>
      <c r="Z79" s="23"/>
      <c r="AA79" s="23"/>
      <c r="AB79" s="23"/>
      <c r="AC79" s="23"/>
      <c r="AD79" s="23"/>
      <c r="AE79" s="23"/>
      <c r="AF79" s="23"/>
      <c r="AI79" s="22"/>
      <c r="AO79" s="23"/>
      <c r="AP79" s="23"/>
      <c r="AQ79" s="23"/>
      <c r="BG79" s="23"/>
      <c r="BI79" s="22"/>
    </row>
    <row r="80" spans="9:65" customFormat="1" ht="16.5">
      <c r="I80" s="22"/>
      <c r="R80" s="22"/>
      <c r="Z80" s="23"/>
      <c r="AA80" s="23"/>
      <c r="AB80" s="23"/>
      <c r="AC80" s="23"/>
      <c r="AD80" s="23"/>
      <c r="AE80" s="23"/>
      <c r="AF80" s="23"/>
      <c r="AI80" s="22"/>
      <c r="AO80" s="23"/>
      <c r="AP80" s="23"/>
      <c r="AQ80" s="23"/>
      <c r="BG80" s="23"/>
      <c r="BI80" s="22"/>
    </row>
    <row r="81" spans="9:65" customFormat="1" ht="16.5">
      <c r="I81" s="22"/>
      <c r="R81" s="22"/>
      <c r="Z81" s="23"/>
      <c r="AA81" s="23"/>
      <c r="AB81" s="23"/>
      <c r="AC81" s="23"/>
      <c r="AD81" s="23"/>
      <c r="AE81" s="23"/>
      <c r="AF81" s="23"/>
      <c r="AI81" s="22"/>
      <c r="AO81" s="23"/>
      <c r="AP81" s="23"/>
      <c r="AQ81" s="23"/>
      <c r="BG81" s="23"/>
      <c r="BI81" s="22"/>
    </row>
    <row r="82" spans="9:65" customFormat="1" ht="16.5">
      <c r="I82" s="22"/>
      <c r="R82" s="22"/>
      <c r="Z82" s="23"/>
      <c r="AA82" s="23"/>
      <c r="AB82" s="23"/>
      <c r="AC82" s="23"/>
      <c r="AD82" s="23"/>
      <c r="AE82" s="23"/>
      <c r="AF82" s="23"/>
      <c r="AI82" s="22"/>
      <c r="AO82" s="23"/>
      <c r="AP82" s="23"/>
      <c r="AQ82" s="23"/>
      <c r="BG82" s="23"/>
      <c r="BI82" s="22"/>
    </row>
    <row r="83" spans="9:65" customFormat="1" ht="16.5">
      <c r="I83" s="22"/>
      <c r="R83" s="22"/>
      <c r="Z83" s="23"/>
      <c r="AA83" s="23"/>
      <c r="AB83" s="23"/>
      <c r="AC83" s="23"/>
      <c r="AD83" s="23"/>
      <c r="AE83" s="23"/>
      <c r="AF83" s="23"/>
      <c r="AI83" s="22"/>
      <c r="AO83" s="23"/>
      <c r="AP83" s="23"/>
      <c r="AQ83" s="23"/>
      <c r="BG83" s="23"/>
      <c r="BI83" s="22"/>
    </row>
    <row r="84" spans="9:65" customFormat="1" ht="16.5">
      <c r="I84" s="22"/>
      <c r="R84" s="22"/>
      <c r="Z84" s="23"/>
      <c r="AA84" s="23"/>
      <c r="AB84" s="23"/>
      <c r="AC84" s="23"/>
      <c r="AD84" s="23"/>
      <c r="AE84" s="23"/>
      <c r="AF84" s="23"/>
      <c r="AI84" s="22"/>
      <c r="AO84" s="23"/>
      <c r="AP84" s="23"/>
      <c r="AQ84" s="23"/>
      <c r="BG84" s="23"/>
      <c r="BI84" s="22"/>
    </row>
    <row r="85" spans="9:65" customFormat="1" ht="16.5">
      <c r="I85" s="22"/>
      <c r="R85" s="22"/>
      <c r="Z85" s="23"/>
      <c r="AA85" s="23"/>
      <c r="AB85" s="23"/>
      <c r="AC85" s="23"/>
      <c r="AD85" s="23"/>
      <c r="AE85" s="23"/>
      <c r="AF85" s="23"/>
      <c r="AI85" s="22"/>
      <c r="AO85" s="23"/>
      <c r="AP85" s="23"/>
      <c r="AQ85" s="23"/>
      <c r="BG85" s="23"/>
      <c r="BI85" s="22"/>
    </row>
    <row r="86" spans="9:65" customFormat="1" ht="16.5">
      <c r="I86" s="22"/>
      <c r="R86" s="22"/>
      <c r="Z86" s="23"/>
      <c r="AA86" s="23"/>
      <c r="AB86" s="23"/>
      <c r="AC86" s="23"/>
      <c r="AD86" s="23"/>
      <c r="AE86" s="23"/>
      <c r="AF86" s="23"/>
      <c r="AI86" s="22"/>
      <c r="AO86" s="23"/>
      <c r="AP86" s="23"/>
      <c r="AQ86" s="23"/>
      <c r="BG86" s="23"/>
      <c r="BI86" s="22"/>
    </row>
    <row r="87" spans="9:65" customFormat="1" ht="16.5">
      <c r="I87" s="22"/>
      <c r="R87" s="22"/>
      <c r="Z87" s="23"/>
      <c r="AA87" s="23"/>
      <c r="AB87" s="23"/>
      <c r="AC87" s="23"/>
      <c r="AD87" s="23"/>
      <c r="AE87" s="23"/>
      <c r="AF87" s="23"/>
      <c r="AI87" s="22"/>
      <c r="AO87" s="23"/>
      <c r="AP87" s="23"/>
      <c r="AQ87" s="23"/>
      <c r="BG87" s="23"/>
      <c r="BI87" s="22"/>
    </row>
    <row r="88" spans="9:65" customFormat="1" ht="16.5">
      <c r="I88" s="22"/>
      <c r="R88" s="22"/>
      <c r="Z88" s="23"/>
      <c r="AA88" s="23"/>
      <c r="AB88" s="23"/>
      <c r="AC88" s="23"/>
      <c r="AD88" s="23"/>
      <c r="AE88" s="23"/>
      <c r="AF88" s="23"/>
      <c r="AI88" s="22"/>
      <c r="AO88" s="23"/>
      <c r="AP88" s="23"/>
      <c r="AQ88" s="23"/>
      <c r="BG88" s="23"/>
      <c r="BI88" s="22"/>
    </row>
    <row r="89" spans="9:65" customFormat="1" ht="16.5">
      <c r="I89" s="22"/>
      <c r="R89" s="22"/>
      <c r="Z89" s="23"/>
      <c r="AA89" s="23"/>
      <c r="AB89" s="23"/>
      <c r="AC89" s="23"/>
      <c r="AD89" s="23"/>
      <c r="AE89" s="23"/>
      <c r="AF89" s="23"/>
      <c r="AI89" s="22"/>
      <c r="AO89" s="23"/>
      <c r="AP89" s="23"/>
      <c r="AQ89" s="23"/>
      <c r="BG89" s="23"/>
      <c r="BI89" s="22"/>
    </row>
    <row r="90" spans="9:65" customFormat="1" ht="16.5">
      <c r="I90" s="22"/>
      <c r="R90" s="22"/>
      <c r="Z90" s="23"/>
      <c r="AA90" s="23"/>
      <c r="AB90" s="23"/>
      <c r="AC90" s="23"/>
      <c r="AD90" s="23"/>
      <c r="AE90" s="23"/>
      <c r="AF90" s="23"/>
      <c r="AI90" s="22"/>
      <c r="AO90" s="23"/>
      <c r="AP90" s="23"/>
      <c r="AQ90" s="23"/>
      <c r="BG90" s="23"/>
      <c r="BI90" s="22"/>
    </row>
    <row r="91" spans="9:65" customFormat="1" ht="16.5">
      <c r="I91" s="22"/>
      <c r="R91" s="22"/>
      <c r="Z91" s="23"/>
      <c r="AA91" s="23"/>
      <c r="AB91" s="23"/>
      <c r="AC91" s="23"/>
      <c r="AD91" s="23"/>
      <c r="AE91" s="23"/>
      <c r="AF91" s="23"/>
      <c r="AI91" s="22"/>
      <c r="AO91" s="23"/>
      <c r="AP91" s="23"/>
      <c r="AQ91" s="23"/>
      <c r="BG91" s="23"/>
      <c r="BI91" s="22"/>
    </row>
    <row r="92" spans="9:65" customFormat="1" ht="16.5">
      <c r="I92" s="22"/>
      <c r="R92" s="22"/>
      <c r="Z92" s="23"/>
      <c r="AA92" s="23"/>
      <c r="AB92" s="23"/>
      <c r="AC92" s="23"/>
      <c r="AD92" s="23"/>
      <c r="AE92" s="23"/>
      <c r="AF92" s="23"/>
      <c r="AI92" s="22"/>
      <c r="AO92" s="23"/>
      <c r="AP92" s="23"/>
      <c r="AQ92" s="23"/>
      <c r="BG92" s="23"/>
      <c r="BI92" s="22"/>
    </row>
    <row r="93" spans="9:65" customFormat="1" ht="16.5">
      <c r="I93" s="22"/>
      <c r="R93" s="22"/>
      <c r="Z93" s="23"/>
      <c r="AA93" s="23"/>
      <c r="AB93" s="23"/>
      <c r="AC93" s="23"/>
      <c r="AD93" s="23"/>
      <c r="AE93" s="23"/>
      <c r="AF93" s="23"/>
      <c r="AI93" s="22"/>
      <c r="AO93" s="23"/>
      <c r="AP93" s="23"/>
      <c r="AQ93" s="23"/>
      <c r="BG93" s="23"/>
      <c r="BI93" s="22"/>
    </row>
    <row r="94" spans="9:65" customFormat="1" ht="16.5">
      <c r="I94" s="22"/>
      <c r="R94" s="22"/>
      <c r="Z94" s="23"/>
      <c r="AA94" s="23"/>
      <c r="AB94" s="23"/>
      <c r="AC94" s="23"/>
      <c r="AD94" s="23"/>
      <c r="AE94" s="23"/>
      <c r="AF94" s="23"/>
      <c r="AI94" s="22"/>
      <c r="AO94" s="23"/>
      <c r="AP94" s="23"/>
      <c r="AQ94" s="23"/>
      <c r="BG94" s="23"/>
      <c r="BI94" s="22"/>
    </row>
    <row r="95" spans="9:65" customFormat="1" ht="16.5">
      <c r="I95" s="22"/>
      <c r="R95" s="22"/>
      <c r="Z95" s="23"/>
      <c r="AA95" s="23"/>
      <c r="AB95" s="23"/>
      <c r="AC95" s="23"/>
      <c r="AD95" s="23"/>
      <c r="AE95" s="23"/>
      <c r="AF95" s="23"/>
      <c r="AI95" s="22"/>
      <c r="AO95" s="23"/>
      <c r="AP95" s="23"/>
      <c r="AQ95" s="23"/>
      <c r="BG95" s="23"/>
      <c r="BI95" s="22"/>
      <c r="BJ95" s="22"/>
      <c r="BK95" s="22"/>
      <c r="BL95" s="22"/>
      <c r="BM95" s="22"/>
    </row>
    <row r="96" spans="9:65" customFormat="1" ht="16.5">
      <c r="I96" s="22"/>
      <c r="R96" s="22"/>
      <c r="Z96" s="23"/>
      <c r="AA96" s="23"/>
      <c r="AB96" s="23"/>
      <c r="AC96" s="23"/>
      <c r="AD96" s="23"/>
      <c r="AE96" s="23"/>
      <c r="AF96" s="23"/>
      <c r="AI96" s="22"/>
      <c r="AO96" s="23"/>
      <c r="AP96" s="23"/>
      <c r="AQ96" s="23"/>
      <c r="BG96" s="23"/>
      <c r="BI96" s="22"/>
      <c r="BJ96" s="22"/>
      <c r="BK96" s="22"/>
      <c r="BL96" s="22"/>
      <c r="BM96" s="22"/>
    </row>
    <row r="97" spans="9:67" customFormat="1" ht="16.5">
      <c r="I97" s="22"/>
      <c r="R97" s="22"/>
      <c r="Z97" s="23"/>
      <c r="AA97" s="23"/>
      <c r="AB97" s="23"/>
      <c r="AC97" s="23"/>
      <c r="AD97" s="23"/>
      <c r="AE97" s="23"/>
      <c r="AF97" s="23"/>
      <c r="AI97" s="22"/>
      <c r="AO97" s="23"/>
      <c r="AP97" s="23"/>
      <c r="AQ97" s="23"/>
      <c r="BG97" s="23"/>
      <c r="BI97" s="22"/>
      <c r="BJ97" s="22"/>
      <c r="BK97" s="22"/>
      <c r="BL97" s="22"/>
      <c r="BM97" s="22"/>
    </row>
    <row r="98" spans="9:67" customFormat="1" ht="16.5">
      <c r="I98" s="22"/>
      <c r="R98" s="22"/>
      <c r="Z98" s="23"/>
      <c r="AA98" s="23"/>
      <c r="AB98" s="23"/>
      <c r="AC98" s="23"/>
      <c r="AD98" s="23"/>
      <c r="AE98" s="23"/>
      <c r="AF98" s="23"/>
      <c r="AI98" s="22"/>
      <c r="AO98" s="23"/>
      <c r="AP98" s="23"/>
      <c r="AQ98" s="23"/>
      <c r="BG98" s="23"/>
      <c r="BI98" s="22"/>
      <c r="BJ98" s="22"/>
      <c r="BK98" s="22"/>
      <c r="BL98" s="22"/>
      <c r="BM98" s="22"/>
    </row>
    <row r="99" spans="9:67" customFormat="1" ht="16.5">
      <c r="I99" s="22"/>
      <c r="R99" s="22"/>
      <c r="Z99" s="23"/>
      <c r="AA99" s="23"/>
      <c r="AB99" s="23"/>
      <c r="AC99" s="23"/>
      <c r="AD99" s="23"/>
      <c r="AE99" s="23"/>
      <c r="AF99" s="23"/>
      <c r="AI99" s="22"/>
      <c r="AO99" s="23"/>
      <c r="AP99" s="23"/>
      <c r="AQ99" s="23"/>
      <c r="BG99" s="23"/>
      <c r="BI99" s="22"/>
      <c r="BJ99" s="22"/>
      <c r="BK99" s="22"/>
      <c r="BL99" s="22"/>
      <c r="BM99" s="22"/>
    </row>
    <row r="100" spans="9:67" customFormat="1" ht="16.5">
      <c r="I100" s="22"/>
      <c r="R100" s="22"/>
      <c r="Z100" s="23"/>
      <c r="AA100" s="23"/>
      <c r="AB100" s="23"/>
      <c r="AC100" s="23"/>
      <c r="AD100" s="23"/>
      <c r="AE100" s="23"/>
      <c r="AF100" s="23"/>
      <c r="AI100" s="22"/>
      <c r="AO100" s="23"/>
      <c r="AP100" s="23"/>
      <c r="AQ100" s="23"/>
      <c r="BG100" s="23"/>
      <c r="BI100" s="22"/>
    </row>
    <row r="101" spans="9:67" customFormat="1" ht="16.5">
      <c r="I101" s="22"/>
      <c r="R101" s="22"/>
      <c r="Z101" s="23"/>
      <c r="AA101" s="23"/>
      <c r="AB101" s="23"/>
      <c r="AC101" s="23"/>
      <c r="AD101" s="23"/>
      <c r="AE101" s="23"/>
      <c r="AF101" s="23"/>
      <c r="AI101" s="22"/>
      <c r="AO101" s="23"/>
      <c r="AP101" s="23"/>
      <c r="AQ101" s="23"/>
      <c r="BG101" s="23"/>
      <c r="BI101" s="22"/>
    </row>
    <row r="102" spans="9:67" customFormat="1" ht="16.5">
      <c r="I102" s="22"/>
      <c r="R102" s="22"/>
      <c r="Z102" s="23"/>
      <c r="AA102" s="23"/>
      <c r="AB102" s="23"/>
      <c r="AC102" s="23"/>
      <c r="AD102" s="23"/>
      <c r="AE102" s="23"/>
      <c r="AF102" s="23"/>
      <c r="AI102" s="22"/>
      <c r="AO102" s="23"/>
      <c r="AP102" s="23"/>
      <c r="AQ102" s="23"/>
      <c r="BG102" s="23"/>
      <c r="BI102" s="22"/>
    </row>
    <row r="103" spans="9:67" customFormat="1" ht="16.5">
      <c r="I103" s="22"/>
      <c r="R103" s="22"/>
      <c r="Z103" s="23"/>
      <c r="AA103" s="23"/>
      <c r="AB103" s="23"/>
      <c r="AC103" s="23"/>
      <c r="AD103" s="23"/>
      <c r="AE103" s="23"/>
      <c r="AF103" s="23"/>
      <c r="AI103" s="22"/>
      <c r="AO103" s="23"/>
      <c r="AP103" s="23"/>
      <c r="AQ103" s="23"/>
      <c r="BG103" s="23"/>
      <c r="BI103" s="22"/>
    </row>
    <row r="104" spans="9:67" customFormat="1" ht="16.5">
      <c r="I104" s="22"/>
      <c r="R104" s="22"/>
      <c r="Z104" s="23"/>
      <c r="AA104" s="23"/>
      <c r="AB104" s="23"/>
      <c r="AC104" s="23"/>
      <c r="AD104" s="23"/>
      <c r="AE104" s="23"/>
      <c r="AF104" s="23"/>
      <c r="AI104" s="22"/>
      <c r="AO104" s="23"/>
      <c r="AP104" s="23"/>
      <c r="AQ104" s="23"/>
      <c r="BG104" s="23"/>
      <c r="BI104" s="22"/>
    </row>
    <row r="105" spans="9:67" customFormat="1" ht="16.5">
      <c r="I105" s="22"/>
      <c r="R105" s="22"/>
      <c r="Z105" s="23"/>
      <c r="AA105" s="23"/>
      <c r="AB105" s="23"/>
      <c r="AC105" s="23"/>
      <c r="AD105" s="23"/>
      <c r="AE105" s="23"/>
      <c r="AF105" s="23"/>
      <c r="AI105" s="22"/>
      <c r="AO105" s="23"/>
      <c r="AP105" s="23"/>
      <c r="AQ105" s="23"/>
      <c r="BG105" s="23"/>
      <c r="BI105" s="22"/>
    </row>
    <row r="106" spans="9:67" customFormat="1" ht="16.5">
      <c r="I106" s="22"/>
      <c r="R106" s="22"/>
      <c r="Z106" s="23"/>
      <c r="AA106" s="23"/>
      <c r="AB106" s="23"/>
      <c r="AC106" s="23"/>
      <c r="AD106" s="23"/>
      <c r="AE106" s="23"/>
      <c r="AF106" s="23"/>
      <c r="AI106" s="22"/>
      <c r="AO106" s="23"/>
      <c r="AP106" s="23"/>
      <c r="AQ106" s="23"/>
      <c r="BG106" s="23"/>
      <c r="BI106" s="22"/>
    </row>
    <row r="107" spans="9:67" customFormat="1" ht="16.5">
      <c r="I107" s="22"/>
      <c r="R107" s="22"/>
      <c r="Z107" s="23"/>
      <c r="AA107" s="23"/>
      <c r="AB107" s="23"/>
      <c r="AC107" s="23"/>
      <c r="AD107" s="23"/>
      <c r="AE107" s="23"/>
      <c r="AF107" s="23"/>
      <c r="AI107" s="22"/>
      <c r="AO107" s="23"/>
      <c r="AP107" s="23"/>
      <c r="AQ107" s="23"/>
      <c r="BG107" s="23"/>
      <c r="BI107" s="22"/>
    </row>
    <row r="108" spans="9:67" customFormat="1" ht="16.5">
      <c r="I108" s="22"/>
      <c r="R108" s="22"/>
      <c r="Z108" s="23"/>
      <c r="AA108" s="23"/>
      <c r="AB108" s="23"/>
      <c r="AC108" s="23"/>
      <c r="AD108" s="23"/>
      <c r="AE108" s="23"/>
      <c r="AF108" s="23"/>
      <c r="AI108" s="22"/>
      <c r="AO108" s="23"/>
      <c r="AP108" s="23"/>
      <c r="AQ108" s="23"/>
      <c r="BG108" s="23"/>
      <c r="BI108" s="22"/>
      <c r="BN108" s="22"/>
      <c r="BO108" s="22"/>
    </row>
    <row r="109" spans="9:67" customFormat="1" ht="16.5">
      <c r="I109" s="22"/>
      <c r="R109" s="22"/>
      <c r="Z109" s="23"/>
      <c r="AA109" s="23"/>
      <c r="AB109" s="23"/>
      <c r="AC109" s="23"/>
      <c r="AD109" s="23"/>
      <c r="AE109" s="23"/>
      <c r="AF109" s="23"/>
      <c r="AI109" s="22"/>
      <c r="AO109" s="23"/>
      <c r="AP109" s="23"/>
      <c r="AQ109" s="23"/>
      <c r="BG109" s="23"/>
      <c r="BI109" s="22"/>
      <c r="BN109" s="22"/>
      <c r="BO109" s="22"/>
    </row>
    <row r="110" spans="9:67" customFormat="1" ht="16.5">
      <c r="I110" s="22"/>
      <c r="R110" s="22"/>
      <c r="Z110" s="23"/>
      <c r="AA110" s="23"/>
      <c r="AB110" s="23"/>
      <c r="AC110" s="23"/>
      <c r="AD110" s="23"/>
      <c r="AE110" s="23"/>
      <c r="AF110" s="23"/>
      <c r="AI110" s="22"/>
      <c r="AO110" s="23"/>
      <c r="AP110" s="23"/>
      <c r="AQ110" s="23"/>
      <c r="BG110" s="23"/>
      <c r="BI110" s="22"/>
      <c r="BN110" s="22"/>
      <c r="BO110" s="22"/>
    </row>
    <row r="111" spans="9:67" customFormat="1" ht="16.5">
      <c r="I111" s="22"/>
      <c r="R111" s="22"/>
      <c r="Z111" s="23"/>
      <c r="AA111" s="23"/>
      <c r="AB111" s="23"/>
      <c r="AC111" s="23"/>
      <c r="AD111" s="23"/>
      <c r="AE111" s="23"/>
      <c r="AF111" s="23"/>
      <c r="AI111" s="22"/>
      <c r="AO111" s="23"/>
      <c r="AP111" s="23"/>
      <c r="AQ111" s="23"/>
      <c r="BG111" s="23"/>
      <c r="BI111" s="22"/>
      <c r="BN111" s="22"/>
      <c r="BO111" s="22"/>
    </row>
    <row r="112" spans="9:67" customFormat="1" ht="16.5">
      <c r="I112" s="22"/>
      <c r="R112" s="22"/>
      <c r="Z112" s="23"/>
      <c r="AA112" s="23"/>
      <c r="AB112" s="23"/>
      <c r="AC112" s="23"/>
      <c r="AD112" s="23"/>
      <c r="AE112" s="23"/>
      <c r="AF112" s="23"/>
      <c r="AI112" s="22"/>
      <c r="AO112" s="23"/>
      <c r="AP112" s="23"/>
      <c r="AQ112" s="23"/>
      <c r="BG112" s="23"/>
      <c r="BI112" s="22"/>
      <c r="BN112" s="22"/>
      <c r="BO112" s="22"/>
    </row>
    <row r="113" spans="9:67" customFormat="1" ht="16.5">
      <c r="I113" s="22"/>
      <c r="R113" s="22"/>
      <c r="Z113" s="23"/>
      <c r="AA113" s="23"/>
      <c r="AB113" s="23"/>
      <c r="AC113" s="23"/>
      <c r="AD113" s="23"/>
      <c r="AE113" s="23"/>
      <c r="AF113" s="23"/>
      <c r="AI113" s="22"/>
      <c r="AO113" s="23"/>
      <c r="AP113" s="23"/>
      <c r="AQ113" s="23"/>
      <c r="BG113" s="23"/>
      <c r="BI113" s="22"/>
      <c r="BN113" s="22"/>
      <c r="BO113" s="22"/>
    </row>
    <row r="114" spans="9:67" customFormat="1" ht="16.5">
      <c r="I114" s="22"/>
      <c r="R114" s="22"/>
      <c r="Z114" s="23"/>
      <c r="AA114" s="23"/>
      <c r="AB114" s="23"/>
      <c r="AC114" s="23"/>
      <c r="AD114" s="23"/>
      <c r="AE114" s="23"/>
      <c r="AF114" s="23"/>
      <c r="AI114" s="22"/>
      <c r="AO114" s="23"/>
      <c r="AP114" s="23"/>
      <c r="AQ114" s="23"/>
      <c r="BG114" s="23"/>
      <c r="BI114" s="22"/>
    </row>
    <row r="115" spans="9:67" customFormat="1" ht="16.5">
      <c r="I115" s="22"/>
      <c r="R115" s="22"/>
      <c r="Z115" s="23"/>
      <c r="AA115" s="23"/>
      <c r="AB115" s="23"/>
      <c r="AC115" s="23"/>
      <c r="AD115" s="23"/>
      <c r="AE115" s="23"/>
      <c r="AF115" s="23"/>
      <c r="AI115" s="22"/>
      <c r="AO115" s="23"/>
      <c r="AP115" s="23"/>
      <c r="AQ115" s="23"/>
      <c r="BG115" s="23"/>
      <c r="BI115" s="22"/>
    </row>
    <row r="116" spans="9:67" customFormat="1" ht="16.5">
      <c r="I116" s="22"/>
      <c r="R116" s="22"/>
      <c r="Z116" s="23"/>
      <c r="AA116" s="23"/>
      <c r="AB116" s="23"/>
      <c r="AC116" s="23"/>
      <c r="AD116" s="23"/>
      <c r="AE116" s="23"/>
      <c r="AF116" s="23"/>
      <c r="AI116" s="22"/>
      <c r="AO116" s="23"/>
      <c r="AP116" s="23"/>
      <c r="AQ116" s="23"/>
      <c r="BG116" s="23"/>
      <c r="BI116" s="22"/>
      <c r="BL116" s="22"/>
    </row>
    <row r="117" spans="9:67" customFormat="1" ht="16.5">
      <c r="I117" s="22"/>
      <c r="R117" s="22"/>
      <c r="Z117" s="23"/>
      <c r="AA117" s="23"/>
      <c r="AB117" s="23"/>
      <c r="AC117" s="23"/>
      <c r="AD117" s="23"/>
      <c r="AE117" s="23"/>
      <c r="AF117" s="23"/>
      <c r="AI117" s="22"/>
      <c r="AO117" s="23"/>
      <c r="AP117" s="23"/>
      <c r="AQ117" s="23"/>
      <c r="BG117" s="23"/>
      <c r="BI117" s="22"/>
      <c r="BL117" s="22"/>
    </row>
    <row r="118" spans="9:67" customFormat="1" ht="16.5">
      <c r="I118" s="22"/>
      <c r="R118" s="22"/>
      <c r="Z118" s="23"/>
      <c r="AA118" s="23"/>
      <c r="AB118" s="23"/>
      <c r="AC118" s="23"/>
      <c r="AD118" s="23"/>
      <c r="AE118" s="23"/>
      <c r="AF118" s="23"/>
      <c r="AI118" s="22"/>
      <c r="AO118" s="23"/>
      <c r="AP118" s="23"/>
      <c r="AQ118" s="23"/>
      <c r="BG118" s="23"/>
      <c r="BI118" s="22"/>
      <c r="BL118" s="22"/>
    </row>
    <row r="119" spans="9:67" customFormat="1" ht="16.5">
      <c r="I119" s="22"/>
      <c r="R119" s="22"/>
      <c r="Z119" s="23"/>
      <c r="AA119" s="23"/>
      <c r="AB119" s="23"/>
      <c r="AC119" s="23"/>
      <c r="AD119" s="23"/>
      <c r="AE119" s="23"/>
      <c r="AF119" s="23"/>
      <c r="AI119" s="22"/>
      <c r="AO119" s="23"/>
      <c r="AP119" s="23"/>
      <c r="AQ119" s="23"/>
      <c r="BG119" s="23"/>
      <c r="BI119" s="22"/>
      <c r="BL119" s="22"/>
    </row>
    <row r="120" spans="9:67" customFormat="1" ht="16.5">
      <c r="I120" s="22"/>
      <c r="R120" s="22"/>
      <c r="Z120" s="23"/>
      <c r="AA120" s="23"/>
      <c r="AB120" s="23"/>
      <c r="AC120" s="23"/>
      <c r="AD120" s="23"/>
      <c r="AE120" s="23"/>
      <c r="AF120" s="23"/>
      <c r="AI120" s="22"/>
      <c r="AO120" s="23"/>
      <c r="AP120" s="23"/>
      <c r="AQ120" s="23"/>
      <c r="BG120" s="23"/>
      <c r="BI120" s="22"/>
    </row>
    <row r="121" spans="9:67" customFormat="1" ht="16.5">
      <c r="I121" s="22"/>
      <c r="R121" s="22"/>
      <c r="Z121" s="23"/>
      <c r="AA121" s="23"/>
      <c r="AB121" s="23"/>
      <c r="AC121" s="23"/>
      <c r="AD121" s="23"/>
      <c r="AE121" s="23"/>
      <c r="AF121" s="23"/>
      <c r="AI121" s="22"/>
      <c r="AO121" s="23"/>
      <c r="AP121" s="23"/>
      <c r="AQ121" s="23"/>
      <c r="BG121" s="23"/>
      <c r="BI121" s="22"/>
    </row>
    <row r="122" spans="9:67" customFormat="1" ht="16.5">
      <c r="I122" s="22"/>
      <c r="R122" s="22"/>
      <c r="Z122" s="23"/>
      <c r="AA122" s="23"/>
      <c r="AB122" s="23"/>
      <c r="AC122" s="23"/>
      <c r="AD122" s="23"/>
      <c r="AE122" s="23"/>
      <c r="AF122" s="23"/>
      <c r="AI122" s="22"/>
      <c r="AO122" s="23"/>
      <c r="AP122" s="23"/>
      <c r="AQ122" s="23"/>
      <c r="BG122" s="23"/>
      <c r="BI122" s="22"/>
      <c r="BN122" s="22"/>
      <c r="BO122" s="22"/>
    </row>
    <row r="123" spans="9:67" customFormat="1" ht="16.5">
      <c r="I123" s="22"/>
      <c r="R123" s="22"/>
      <c r="Z123" s="23"/>
      <c r="AA123" s="23"/>
      <c r="AB123" s="23"/>
      <c r="AC123" s="23"/>
      <c r="AD123" s="23"/>
      <c r="AE123" s="23"/>
      <c r="AF123" s="23"/>
      <c r="AI123" s="22"/>
      <c r="AO123" s="23"/>
      <c r="AP123" s="23"/>
      <c r="AQ123" s="23"/>
      <c r="BG123" s="23"/>
      <c r="BI123" s="22"/>
      <c r="BN123" s="22"/>
      <c r="BO123" s="22"/>
    </row>
    <row r="124" spans="9:67" customFormat="1" ht="16.5">
      <c r="I124" s="22"/>
      <c r="R124" s="22"/>
      <c r="Z124" s="23"/>
      <c r="AA124" s="23"/>
      <c r="AB124" s="23"/>
      <c r="AC124" s="23"/>
      <c r="AD124" s="23"/>
      <c r="AE124" s="23"/>
      <c r="AF124" s="23"/>
      <c r="AI124" s="22"/>
      <c r="AO124" s="23"/>
      <c r="AP124" s="23"/>
      <c r="AQ124" s="23"/>
      <c r="BG124" s="23"/>
      <c r="BI124" s="22"/>
      <c r="BN124" s="22"/>
      <c r="BO124" s="22"/>
    </row>
    <row r="125" spans="9:67" customFormat="1" ht="16.5">
      <c r="I125" s="22"/>
      <c r="R125" s="22"/>
      <c r="X125" s="22"/>
      <c r="Z125" s="23"/>
      <c r="AA125" s="23"/>
      <c r="AB125" s="23"/>
      <c r="AC125" s="23"/>
      <c r="AD125" s="23"/>
      <c r="AE125" s="23"/>
      <c r="AF125" s="23"/>
      <c r="AG125" s="23"/>
      <c r="AH125" s="22"/>
      <c r="AI125" s="22"/>
      <c r="AJ125" s="22"/>
      <c r="AK125" s="22"/>
      <c r="AO125" s="23"/>
      <c r="AP125" s="23"/>
      <c r="AQ125" s="23"/>
      <c r="AS125" s="23"/>
      <c r="AT125" s="23"/>
      <c r="AV125" s="23"/>
      <c r="BB125" s="23"/>
      <c r="BI125" s="23"/>
      <c r="BK125" s="23"/>
      <c r="BL125" s="22"/>
      <c r="BM125" s="22"/>
      <c r="BN125" s="22"/>
      <c r="BO125" s="22"/>
    </row>
    <row r="126" spans="9:67" customFormat="1" ht="16.5">
      <c r="I126" s="22"/>
      <c r="R126" s="22"/>
      <c r="X126" s="22"/>
      <c r="Z126" s="23"/>
      <c r="AA126" s="23"/>
      <c r="AB126" s="23"/>
      <c r="AC126" s="23"/>
      <c r="AD126" s="23"/>
      <c r="AE126" s="23"/>
      <c r="AF126" s="23"/>
      <c r="AG126" s="23"/>
      <c r="AH126" s="22"/>
      <c r="AI126" s="22"/>
      <c r="AJ126" s="22"/>
      <c r="AK126" s="22"/>
      <c r="AO126" s="23"/>
      <c r="AP126" s="23"/>
      <c r="AQ126" s="23"/>
      <c r="AS126" s="23"/>
      <c r="AT126" s="23"/>
      <c r="AV126" s="23"/>
      <c r="BB126" s="23"/>
      <c r="BI126" s="23"/>
      <c r="BK126" s="23"/>
      <c r="BL126" s="22"/>
      <c r="BM126" s="22"/>
      <c r="BN126" s="22"/>
      <c r="BO126" s="22"/>
    </row>
    <row r="127" spans="9:67" customFormat="1" ht="16.5">
      <c r="I127" s="22"/>
      <c r="R127" s="22"/>
      <c r="X127" s="22"/>
      <c r="Z127" s="23"/>
      <c r="AA127" s="23"/>
      <c r="AB127" s="23"/>
      <c r="AC127" s="23"/>
      <c r="AD127" s="23"/>
      <c r="AE127" s="23"/>
      <c r="AF127" s="23"/>
      <c r="AG127" s="23"/>
      <c r="AH127" s="22"/>
      <c r="AI127" s="22"/>
      <c r="AJ127" s="22"/>
      <c r="AK127" s="22"/>
      <c r="AO127" s="23"/>
      <c r="AP127" s="23"/>
      <c r="AQ127" s="23"/>
      <c r="AS127" s="23"/>
      <c r="AT127" s="23"/>
      <c r="AV127" s="23"/>
      <c r="BB127" s="23"/>
      <c r="BI127" s="23"/>
      <c r="BK127" s="23"/>
      <c r="BL127" s="22"/>
      <c r="BM127" s="22"/>
      <c r="BN127" s="22"/>
      <c r="BO127" s="22"/>
    </row>
    <row r="128" spans="9:67" customFormat="1" ht="16.5">
      <c r="I128" s="22"/>
      <c r="R128" s="22"/>
      <c r="X128" s="22"/>
      <c r="Z128" s="23"/>
      <c r="AA128" s="23"/>
      <c r="AB128" s="23"/>
      <c r="AC128" s="23"/>
      <c r="AD128" s="23"/>
      <c r="AE128" s="23"/>
      <c r="AF128" s="23"/>
      <c r="AG128" s="23"/>
      <c r="AH128" s="22"/>
      <c r="AI128" s="22"/>
      <c r="AJ128" s="22"/>
      <c r="AK128" s="22"/>
      <c r="AO128" s="23"/>
      <c r="AP128" s="23"/>
      <c r="AQ128" s="23"/>
      <c r="AS128" s="23"/>
      <c r="AT128" s="23"/>
      <c r="AV128" s="23"/>
      <c r="BB128" s="23"/>
      <c r="BI128" s="23"/>
      <c r="BK128" s="23"/>
      <c r="BL128" s="22"/>
      <c r="BM128" s="22"/>
      <c r="BN128" s="22"/>
      <c r="BO128" s="22"/>
    </row>
    <row r="129" spans="9:73" customFormat="1" ht="17.25" customHeight="1">
      <c r="I129" s="22"/>
      <c r="R129" s="22"/>
      <c r="Z129" s="23"/>
      <c r="AA129" s="23"/>
      <c r="AB129" s="23"/>
      <c r="AC129" s="23"/>
      <c r="AD129" s="23"/>
      <c r="AE129" s="23"/>
      <c r="AF129" s="23"/>
      <c r="AI129" s="22"/>
      <c r="AO129" s="23"/>
      <c r="AP129" s="23"/>
      <c r="AQ129" s="23"/>
      <c r="BI129" s="23"/>
      <c r="BL129" s="22"/>
      <c r="BR129" s="23"/>
      <c r="BU129" s="22"/>
    </row>
    <row r="130" spans="9:73" customFormat="1" ht="17.25" customHeight="1">
      <c r="I130" s="22"/>
      <c r="R130" s="22"/>
      <c r="Z130" s="23"/>
      <c r="AA130" s="23"/>
      <c r="AB130" s="23"/>
      <c r="AC130" s="23"/>
      <c r="AD130" s="23"/>
      <c r="AE130" s="23"/>
      <c r="AF130" s="23"/>
      <c r="AI130" s="22"/>
      <c r="AO130" s="23"/>
      <c r="AP130" s="23"/>
      <c r="AQ130" s="23"/>
      <c r="BI130" s="23"/>
      <c r="BL130" s="22"/>
      <c r="BR130" s="23"/>
      <c r="BU130" s="22"/>
    </row>
    <row r="131" spans="9:73" customFormat="1" ht="17.25" customHeight="1">
      <c r="I131" s="22"/>
      <c r="R131" s="22"/>
      <c r="Z131" s="23"/>
      <c r="AA131" s="23"/>
      <c r="AB131" s="23"/>
      <c r="AC131" s="23"/>
      <c r="AD131" s="23"/>
      <c r="AE131" s="23"/>
      <c r="AF131" s="23"/>
      <c r="AI131" s="22"/>
      <c r="AO131" s="23"/>
      <c r="AP131" s="23"/>
      <c r="AQ131" s="23"/>
      <c r="BI131" s="23"/>
      <c r="BL131" s="22"/>
      <c r="BR131" s="23"/>
      <c r="BU131" s="22"/>
    </row>
    <row r="132" spans="9:73" customFormat="1" ht="17.25" customHeight="1">
      <c r="I132" s="22"/>
      <c r="R132" s="22"/>
      <c r="Z132" s="23"/>
      <c r="AA132" s="23"/>
      <c r="AB132" s="23"/>
      <c r="AC132" s="23"/>
      <c r="AD132" s="23"/>
      <c r="AE132" s="23"/>
      <c r="AF132" s="23"/>
      <c r="AI132" s="22"/>
      <c r="AO132" s="23"/>
      <c r="AP132" s="23"/>
      <c r="AQ132" s="23"/>
      <c r="BI132" s="23"/>
      <c r="BL132" s="22"/>
      <c r="BR132" s="23"/>
      <c r="BU132" s="22"/>
    </row>
    <row r="133" spans="9:73" customFormat="1" ht="17.25" customHeight="1">
      <c r="I133" s="22"/>
      <c r="R133" s="22"/>
      <c r="Z133" s="23"/>
      <c r="AA133" s="23"/>
      <c r="AB133" s="23"/>
      <c r="AC133" s="23"/>
      <c r="AD133" s="23"/>
      <c r="AE133" s="23"/>
      <c r="AF133" s="23"/>
      <c r="AI133" s="22"/>
      <c r="AO133" s="23"/>
      <c r="AP133" s="23"/>
      <c r="AQ133" s="23"/>
      <c r="BI133" s="23"/>
      <c r="BL133" s="22"/>
      <c r="BR133" s="23"/>
      <c r="BU133" s="22"/>
    </row>
    <row r="134" spans="9:73" customFormat="1" ht="17.25" customHeight="1">
      <c r="I134" s="22"/>
      <c r="R134" s="22"/>
      <c r="Z134" s="23"/>
      <c r="AA134" s="23"/>
      <c r="AB134" s="23"/>
      <c r="AC134" s="23"/>
      <c r="AD134" s="23"/>
      <c r="AE134" s="23"/>
      <c r="AF134" s="23"/>
      <c r="AI134" s="22"/>
      <c r="AO134" s="23"/>
      <c r="AP134" s="23"/>
      <c r="AQ134" s="23"/>
      <c r="BI134" s="23"/>
      <c r="BL134" s="22"/>
      <c r="BR134" s="23"/>
      <c r="BU134" s="22"/>
    </row>
    <row r="135" spans="9:73" customFormat="1" ht="17.25" customHeight="1">
      <c r="I135" s="22"/>
      <c r="R135" s="22"/>
      <c r="Z135" s="23"/>
      <c r="AA135" s="23"/>
      <c r="AB135" s="23"/>
      <c r="AC135" s="23"/>
      <c r="AD135" s="23"/>
      <c r="AE135" s="23"/>
      <c r="AF135" s="23"/>
      <c r="AI135" s="22"/>
      <c r="AO135" s="23"/>
      <c r="AP135" s="23"/>
      <c r="AQ135" s="23"/>
      <c r="BI135" s="23"/>
      <c r="BL135" s="22"/>
      <c r="BR135" s="23"/>
      <c r="BU135" s="22"/>
    </row>
    <row r="136" spans="9:73" customFormat="1" ht="17.25" customHeight="1">
      <c r="I136" s="22"/>
      <c r="R136" s="22"/>
      <c r="Z136" s="23"/>
      <c r="AA136" s="23"/>
      <c r="AB136" s="23"/>
      <c r="AC136" s="23"/>
      <c r="AD136" s="23"/>
      <c r="AE136" s="23"/>
      <c r="AF136" s="23"/>
      <c r="AI136" s="22"/>
      <c r="AO136" s="23"/>
      <c r="AP136" s="23"/>
      <c r="AQ136" s="23"/>
      <c r="BI136" s="23"/>
      <c r="BL136" s="22"/>
      <c r="BR136" s="23"/>
      <c r="BU136" s="22"/>
    </row>
    <row r="137" spans="9:73" customFormat="1" ht="17.25" customHeight="1">
      <c r="I137" s="22"/>
      <c r="R137" s="22"/>
      <c r="Z137" s="23"/>
      <c r="AA137" s="23"/>
      <c r="AB137" s="23"/>
      <c r="AC137" s="23"/>
      <c r="AD137" s="23"/>
      <c r="AE137" s="23"/>
      <c r="AF137" s="23"/>
      <c r="AI137" s="22"/>
      <c r="AO137" s="23"/>
      <c r="AP137" s="23"/>
      <c r="AQ137" s="23"/>
      <c r="BI137" s="23"/>
      <c r="BL137" s="22"/>
      <c r="BR137" s="23"/>
      <c r="BU137" s="22"/>
    </row>
    <row r="138" spans="9:73" customFormat="1" ht="17.25" customHeight="1">
      <c r="I138" s="22"/>
      <c r="R138" s="22"/>
      <c r="Z138" s="23"/>
      <c r="AA138" s="23"/>
      <c r="AB138" s="23"/>
      <c r="AC138" s="23"/>
      <c r="AD138" s="23"/>
      <c r="AE138" s="23"/>
      <c r="AF138" s="23"/>
      <c r="AI138" s="22"/>
      <c r="AO138" s="23"/>
      <c r="AP138" s="23"/>
      <c r="AQ138" s="23"/>
      <c r="BI138" s="23"/>
      <c r="BL138" s="22"/>
      <c r="BR138" s="23"/>
      <c r="BU138" s="22"/>
    </row>
    <row r="139" spans="9:73" customFormat="1" ht="17.25" customHeight="1">
      <c r="I139" s="22"/>
      <c r="R139" s="22"/>
      <c r="Z139" s="23"/>
      <c r="AA139" s="23"/>
      <c r="AB139" s="23"/>
      <c r="AC139" s="23"/>
      <c r="AD139" s="23"/>
      <c r="AE139" s="23"/>
      <c r="AF139" s="23"/>
      <c r="AI139" s="22"/>
      <c r="AO139" s="23"/>
      <c r="AP139" s="23"/>
      <c r="AQ139" s="23"/>
      <c r="BI139" s="23"/>
      <c r="BL139" s="22"/>
      <c r="BR139" s="23"/>
      <c r="BU139" s="22"/>
    </row>
    <row r="140" spans="9:73" customFormat="1" ht="17.25" customHeight="1">
      <c r="I140" s="22"/>
      <c r="R140" s="22"/>
      <c r="Z140" s="23"/>
      <c r="AA140" s="23"/>
      <c r="AB140" s="23"/>
      <c r="AC140" s="23"/>
      <c r="AD140" s="23"/>
      <c r="AE140" s="23"/>
      <c r="AF140" s="23"/>
      <c r="AI140" s="22"/>
      <c r="AO140" s="23"/>
      <c r="AP140" s="23"/>
      <c r="AQ140" s="23"/>
      <c r="BI140" s="23"/>
      <c r="BL140" s="22"/>
      <c r="BR140" s="23"/>
      <c r="BU140" s="22"/>
    </row>
    <row r="141" spans="9:73" customFormat="1" ht="17.25" customHeight="1">
      <c r="I141" s="22"/>
      <c r="R141" s="22"/>
      <c r="Z141" s="23"/>
      <c r="AA141" s="23"/>
      <c r="AB141" s="23"/>
      <c r="AC141" s="23"/>
      <c r="AD141" s="23"/>
      <c r="AE141" s="23"/>
      <c r="AF141" s="23"/>
      <c r="AI141" s="22"/>
      <c r="AO141" s="23"/>
      <c r="AP141" s="23"/>
      <c r="AQ141" s="23"/>
      <c r="BI141" s="23"/>
      <c r="BL141" s="22"/>
      <c r="BR141" s="23"/>
      <c r="BU141" s="22"/>
    </row>
    <row r="142" spans="9:73" customFormat="1" ht="17.25" customHeight="1">
      <c r="I142" s="22"/>
      <c r="R142" s="22"/>
      <c r="X142" s="22"/>
      <c r="Z142" s="23"/>
      <c r="AA142" s="23"/>
      <c r="AB142" s="23"/>
      <c r="AC142" s="23"/>
      <c r="AD142" s="23"/>
      <c r="AE142" s="23"/>
      <c r="AF142" s="23"/>
      <c r="AG142" s="23"/>
      <c r="AH142" s="22"/>
      <c r="AI142" s="22"/>
      <c r="AJ142" s="22"/>
      <c r="AK142" s="22"/>
      <c r="AO142" s="23"/>
      <c r="AP142" s="23"/>
      <c r="AQ142" s="23"/>
      <c r="AS142" s="23"/>
      <c r="AT142" s="23"/>
      <c r="BB142" s="23"/>
      <c r="BI142" s="23"/>
      <c r="BK142" s="23"/>
      <c r="BL142" s="22"/>
      <c r="BM142" s="22"/>
      <c r="BN142" s="22"/>
      <c r="BO142" s="22"/>
    </row>
    <row r="143" spans="9:73" customFormat="1" ht="17.25" customHeight="1">
      <c r="I143" s="22"/>
      <c r="R143" s="22"/>
      <c r="X143" s="22"/>
      <c r="Z143" s="23"/>
      <c r="AA143" s="23"/>
      <c r="AB143" s="23"/>
      <c r="AC143" s="23"/>
      <c r="AD143" s="23"/>
      <c r="AE143" s="23"/>
      <c r="AF143" s="23"/>
      <c r="AG143" s="23"/>
      <c r="AH143" s="22"/>
      <c r="AI143" s="22"/>
      <c r="AJ143" s="22"/>
      <c r="AK143" s="22"/>
      <c r="AO143" s="23"/>
      <c r="AP143" s="23"/>
      <c r="AQ143" s="23"/>
      <c r="AS143" s="23"/>
      <c r="AT143" s="23"/>
      <c r="BB143" s="23"/>
      <c r="BI143" s="23"/>
      <c r="BK143" s="23"/>
      <c r="BL143" s="22"/>
      <c r="BM143" s="22"/>
      <c r="BN143" s="22"/>
      <c r="BO143" s="22"/>
    </row>
    <row r="144" spans="9:73" customFormat="1" ht="17.25" customHeight="1">
      <c r="I144" s="22"/>
      <c r="R144" s="22"/>
      <c r="X144" s="22"/>
      <c r="Z144" s="23"/>
      <c r="AA144" s="23"/>
      <c r="AB144" s="23"/>
      <c r="AC144" s="23"/>
      <c r="AD144" s="23"/>
      <c r="AE144" s="23"/>
      <c r="AF144" s="23"/>
      <c r="AG144" s="23"/>
      <c r="AH144" s="22"/>
      <c r="AI144" s="22"/>
      <c r="AJ144" s="22"/>
      <c r="AK144" s="22"/>
      <c r="AO144" s="23"/>
      <c r="AP144" s="23"/>
      <c r="AQ144" s="23"/>
      <c r="AS144" s="23"/>
      <c r="AT144" s="23"/>
      <c r="BB144" s="23"/>
      <c r="BI144" s="23"/>
      <c r="BK144" s="23"/>
      <c r="BL144" s="22"/>
      <c r="BM144" s="22"/>
      <c r="BN144" s="22"/>
      <c r="BO144" s="22"/>
    </row>
    <row r="145" spans="9:67" customFormat="1" ht="17.25" customHeight="1">
      <c r="I145" s="22"/>
      <c r="R145" s="22"/>
      <c r="X145" s="22"/>
      <c r="Z145" s="23"/>
      <c r="AA145" s="23"/>
      <c r="AB145" s="23"/>
      <c r="AC145" s="23"/>
      <c r="AD145" s="23"/>
      <c r="AE145" s="23"/>
      <c r="AF145" s="23"/>
      <c r="AG145" s="23"/>
      <c r="AH145" s="22"/>
      <c r="AI145" s="22"/>
      <c r="AJ145" s="22"/>
      <c r="AK145" s="22"/>
      <c r="AO145" s="23"/>
      <c r="AP145" s="23"/>
      <c r="AQ145" s="23"/>
      <c r="AS145" s="23"/>
      <c r="AT145" s="23"/>
      <c r="BB145" s="23"/>
      <c r="BI145" s="23"/>
      <c r="BK145" s="23"/>
      <c r="BL145" s="22"/>
      <c r="BM145" s="22"/>
      <c r="BN145" s="22"/>
      <c r="BO145" s="22"/>
    </row>
    <row r="146" spans="9:67" customFormat="1" ht="17.25" customHeight="1">
      <c r="I146" s="22"/>
      <c r="R146" s="22"/>
      <c r="X146" s="22"/>
      <c r="Z146" s="23"/>
      <c r="AA146" s="23"/>
      <c r="AB146" s="23"/>
      <c r="AC146" s="23"/>
      <c r="AD146" s="23"/>
      <c r="AE146" s="23"/>
      <c r="AF146" s="23"/>
      <c r="AG146" s="23"/>
      <c r="AH146" s="22"/>
      <c r="AI146" s="22"/>
      <c r="AJ146" s="22"/>
      <c r="AK146" s="22"/>
      <c r="AO146" s="23"/>
      <c r="AP146" s="23"/>
      <c r="AQ146" s="23"/>
      <c r="AS146" s="23"/>
      <c r="AT146" s="23"/>
      <c r="BB146" s="23"/>
      <c r="BI146" s="23"/>
      <c r="BK146" s="23"/>
      <c r="BL146" s="22"/>
      <c r="BM146" s="22"/>
      <c r="BN146" s="22"/>
      <c r="BO146" s="22"/>
    </row>
    <row r="147" spans="9:67" customFormat="1" ht="17.25" customHeight="1">
      <c r="I147" s="22"/>
      <c r="R147" s="22"/>
      <c r="X147" s="22"/>
      <c r="Z147" s="23"/>
      <c r="AA147" s="23"/>
      <c r="AB147" s="23"/>
      <c r="AC147" s="23"/>
      <c r="AD147" s="23"/>
      <c r="AE147" s="23"/>
      <c r="AF147" s="23"/>
      <c r="AG147" s="23"/>
      <c r="AH147" s="22"/>
      <c r="AI147" s="22"/>
      <c r="AJ147" s="22"/>
      <c r="AK147" s="22"/>
      <c r="AO147" s="23"/>
      <c r="AP147" s="23"/>
      <c r="AQ147" s="23"/>
      <c r="AS147" s="23"/>
      <c r="AT147" s="23"/>
      <c r="BB147" s="23"/>
      <c r="BI147" s="23"/>
      <c r="BK147" s="23"/>
      <c r="BL147" s="22"/>
      <c r="BM147" s="22"/>
      <c r="BN147" s="22"/>
      <c r="BO147" s="22"/>
    </row>
    <row r="148" spans="9:67" customFormat="1" ht="16.5">
      <c r="I148" s="22"/>
      <c r="R148" s="22"/>
      <c r="X148" s="22"/>
      <c r="Z148" s="23"/>
      <c r="AA148" s="23"/>
      <c r="AB148" s="23"/>
      <c r="AC148" s="23"/>
      <c r="AD148" s="23"/>
      <c r="AE148" s="23"/>
      <c r="AF148" s="23"/>
      <c r="AG148" s="23"/>
      <c r="AH148" s="22"/>
      <c r="AI148" s="22"/>
      <c r="AJ148" s="22"/>
      <c r="AK148" s="22"/>
      <c r="AO148" s="23"/>
      <c r="AP148" s="23"/>
      <c r="AQ148" s="23"/>
      <c r="AS148" s="23"/>
      <c r="AT148" s="23"/>
      <c r="BB148" s="23"/>
      <c r="BI148" s="23"/>
      <c r="BK148" s="23"/>
      <c r="BL148" s="22"/>
      <c r="BM148" s="22"/>
      <c r="BN148" s="22"/>
      <c r="BO148" s="22"/>
    </row>
    <row r="149" spans="9:67" customFormat="1" ht="16.5">
      <c r="I149" s="22"/>
      <c r="R149" s="22"/>
      <c r="X149" s="22"/>
      <c r="Z149" s="23"/>
      <c r="AA149" s="23"/>
      <c r="AB149" s="23"/>
      <c r="AC149" s="23"/>
      <c r="AD149" s="23"/>
      <c r="AE149" s="23"/>
      <c r="AF149" s="23"/>
      <c r="AG149" s="23"/>
      <c r="AH149" s="22"/>
      <c r="AI149" s="22"/>
      <c r="AJ149" s="22"/>
      <c r="AK149" s="22"/>
      <c r="AO149" s="23"/>
      <c r="AP149" s="23"/>
      <c r="AQ149" s="23"/>
      <c r="AS149" s="23"/>
      <c r="AT149" s="23"/>
      <c r="AV149" s="23"/>
      <c r="BB149" s="23"/>
      <c r="BI149" s="23"/>
      <c r="BK149" s="23"/>
      <c r="BL149" s="22"/>
      <c r="BM149" s="22"/>
      <c r="BN149" s="22"/>
      <c r="BO149" s="22"/>
    </row>
    <row r="150" spans="9:67" customFormat="1" ht="16.5">
      <c r="I150" s="22"/>
      <c r="R150" s="22"/>
      <c r="X150" s="22"/>
      <c r="Z150" s="23"/>
      <c r="AA150" s="23"/>
      <c r="AB150" s="23"/>
      <c r="AC150" s="23"/>
      <c r="AD150" s="23"/>
      <c r="AE150" s="23"/>
      <c r="AF150" s="23"/>
      <c r="AG150" s="23"/>
      <c r="AH150" s="22"/>
      <c r="AI150" s="22"/>
      <c r="AJ150" s="22"/>
      <c r="AK150" s="22"/>
      <c r="AO150" s="23"/>
      <c r="AP150" s="23"/>
      <c r="AQ150" s="23"/>
      <c r="AS150" s="23"/>
      <c r="AT150" s="23"/>
      <c r="AV150" s="23"/>
      <c r="BB150" s="23"/>
      <c r="BI150" s="23"/>
      <c r="BK150" s="23"/>
      <c r="BL150" s="22"/>
      <c r="BM150" s="22"/>
      <c r="BN150" s="22"/>
      <c r="BO150" s="22"/>
    </row>
    <row r="151" spans="9:67" customFormat="1" ht="16.5">
      <c r="I151" s="22"/>
      <c r="R151" s="22"/>
      <c r="X151" s="22"/>
      <c r="Z151" s="23"/>
      <c r="AA151" s="23"/>
      <c r="AB151" s="23"/>
      <c r="AC151" s="23"/>
      <c r="AD151" s="23"/>
      <c r="AE151" s="23"/>
      <c r="AF151" s="23"/>
      <c r="AG151" s="23"/>
      <c r="AH151" s="22"/>
      <c r="AI151" s="22"/>
      <c r="AJ151" s="22"/>
      <c r="AK151" s="22"/>
      <c r="AO151" s="23"/>
      <c r="AP151" s="23"/>
      <c r="AQ151" s="23"/>
      <c r="AS151" s="23"/>
      <c r="AT151" s="23"/>
      <c r="AV151" s="23"/>
      <c r="BB151" s="23"/>
      <c r="BI151" s="23"/>
      <c r="BK151" s="23"/>
      <c r="BL151" s="22"/>
      <c r="BM151" s="22"/>
      <c r="BN151" s="22"/>
      <c r="BO151" s="22"/>
    </row>
    <row r="152" spans="9:67" customFormat="1" ht="16.5">
      <c r="I152" s="22"/>
      <c r="R152" s="22"/>
      <c r="X152" s="22"/>
      <c r="Z152" s="23"/>
      <c r="AA152" s="23"/>
      <c r="AB152" s="23"/>
      <c r="AC152" s="23"/>
      <c r="AD152" s="23"/>
      <c r="AE152" s="23"/>
      <c r="AF152" s="23"/>
      <c r="AG152" s="23"/>
      <c r="AH152" s="22"/>
      <c r="AI152" s="22"/>
      <c r="AJ152" s="22"/>
      <c r="AK152" s="22"/>
      <c r="AO152" s="23"/>
      <c r="AP152" s="23"/>
      <c r="AQ152" s="23"/>
      <c r="AS152" s="23"/>
      <c r="AT152" s="23"/>
      <c r="AV152" s="23"/>
      <c r="BB152" s="23"/>
      <c r="BI152" s="23"/>
      <c r="BK152" s="23"/>
      <c r="BL152" s="22"/>
      <c r="BM152" s="22"/>
      <c r="BN152" s="22"/>
      <c r="BO152" s="22"/>
    </row>
    <row r="153" spans="9:67" customFormat="1" ht="16.5">
      <c r="I153" s="22"/>
      <c r="R153" s="22"/>
      <c r="X153" s="22"/>
      <c r="Z153" s="23"/>
      <c r="AA153" s="23"/>
      <c r="AB153" s="23"/>
      <c r="AC153" s="23"/>
      <c r="AD153" s="23"/>
      <c r="AE153" s="23"/>
      <c r="AF153" s="23"/>
      <c r="AG153" s="23"/>
      <c r="AH153" s="22"/>
      <c r="AI153" s="22"/>
      <c r="AJ153" s="22"/>
      <c r="AK153" s="22"/>
      <c r="AO153" s="23"/>
      <c r="AP153" s="23"/>
      <c r="AQ153" s="23"/>
      <c r="AS153" s="23"/>
      <c r="AT153" s="23"/>
      <c r="BB153" s="23"/>
      <c r="BI153" s="23"/>
      <c r="BK153" s="23"/>
      <c r="BL153" s="22"/>
      <c r="BM153" s="22"/>
      <c r="BN153" s="22"/>
      <c r="BO153" s="22"/>
    </row>
    <row r="154" spans="9:67" customFormat="1" ht="16.5">
      <c r="I154" s="22"/>
      <c r="R154" s="22"/>
      <c r="X154" s="22"/>
      <c r="Z154" s="23"/>
      <c r="AA154" s="23"/>
      <c r="AB154" s="23"/>
      <c r="AC154" s="23"/>
      <c r="AD154" s="23"/>
      <c r="AE154" s="23"/>
      <c r="AF154" s="23"/>
      <c r="AG154" s="23"/>
      <c r="AH154" s="22"/>
      <c r="AI154" s="22"/>
      <c r="AJ154" s="22"/>
      <c r="AK154" s="22"/>
      <c r="AO154" s="23"/>
      <c r="AP154" s="23"/>
      <c r="AQ154" s="23"/>
      <c r="AS154" s="23"/>
      <c r="AT154" s="23"/>
      <c r="AV154" s="23"/>
      <c r="BB154" s="23"/>
      <c r="BI154" s="23"/>
      <c r="BK154" s="23"/>
      <c r="BL154" s="22"/>
      <c r="BM154" s="22"/>
      <c r="BN154" s="22"/>
      <c r="BO154" s="22"/>
    </row>
    <row r="155" spans="9:67" customFormat="1" ht="16.5">
      <c r="I155" s="22"/>
      <c r="R155" s="22"/>
      <c r="X155" s="22"/>
      <c r="Z155" s="23"/>
      <c r="AA155" s="23"/>
      <c r="AB155" s="23"/>
      <c r="AC155" s="23"/>
      <c r="AD155" s="23"/>
      <c r="AE155" s="23"/>
      <c r="AF155" s="23"/>
      <c r="AG155" s="23"/>
      <c r="AH155" s="22"/>
      <c r="AI155" s="22"/>
      <c r="AJ155" s="22"/>
      <c r="AK155" s="22"/>
      <c r="AO155" s="23"/>
      <c r="AP155" s="23"/>
      <c r="AQ155" s="23"/>
      <c r="AS155" s="23"/>
      <c r="AT155" s="23"/>
      <c r="AV155" s="23"/>
      <c r="BB155" s="23"/>
      <c r="BI155" s="23"/>
      <c r="BK155" s="23"/>
      <c r="BL155" s="22"/>
      <c r="BM155" s="22"/>
      <c r="BN155" s="22"/>
      <c r="BO155" s="22"/>
    </row>
    <row r="156" spans="9:67" customFormat="1" ht="16.5">
      <c r="I156" s="22"/>
      <c r="R156" s="22"/>
      <c r="X156" s="22"/>
      <c r="Z156" s="23"/>
      <c r="AA156" s="23"/>
      <c r="AB156" s="23"/>
      <c r="AC156" s="23"/>
      <c r="AD156" s="23"/>
      <c r="AE156" s="23"/>
      <c r="AF156" s="23"/>
      <c r="AG156" s="23"/>
      <c r="AH156" s="22"/>
      <c r="AI156" s="22"/>
      <c r="AJ156" s="22"/>
      <c r="AK156" s="22"/>
      <c r="AO156" s="23"/>
      <c r="AP156" s="23"/>
      <c r="AQ156" s="23"/>
      <c r="AS156" s="23"/>
      <c r="AT156" s="23"/>
      <c r="AV156" s="23"/>
      <c r="BI156" s="23"/>
      <c r="BK156" s="23"/>
      <c r="BL156" s="22"/>
      <c r="BM156" s="22"/>
      <c r="BN156" s="22"/>
      <c r="BO156" s="22"/>
    </row>
    <row r="157" spans="9:67" customFormat="1" ht="16.5">
      <c r="I157" s="22"/>
      <c r="R157" s="22"/>
      <c r="X157" s="22"/>
      <c r="Z157" s="23"/>
      <c r="AA157" s="23"/>
      <c r="AB157" s="23"/>
      <c r="AC157" s="23"/>
      <c r="AD157" s="23"/>
      <c r="AE157" s="23"/>
      <c r="AF157" s="23"/>
      <c r="AG157" s="23"/>
      <c r="AH157" s="22"/>
      <c r="AI157" s="22"/>
      <c r="AJ157" s="22"/>
      <c r="AK157" s="22"/>
      <c r="AO157" s="23"/>
      <c r="AP157" s="23"/>
      <c r="AQ157" s="23"/>
      <c r="AS157" s="23"/>
      <c r="AT157" s="23"/>
      <c r="AV157" s="23"/>
      <c r="BI157" s="23"/>
      <c r="BK157" s="23"/>
      <c r="BL157" s="22"/>
      <c r="BM157" s="22"/>
      <c r="BN157" s="22"/>
      <c r="BO157" s="22"/>
    </row>
    <row r="158" spans="9:67" customFormat="1" ht="16.5">
      <c r="I158" s="22"/>
      <c r="R158" s="22"/>
      <c r="X158" s="22"/>
      <c r="Z158" s="23"/>
      <c r="AA158" s="23"/>
      <c r="AB158" s="23"/>
      <c r="AC158" s="23"/>
      <c r="AD158" s="23"/>
      <c r="AE158" s="23"/>
      <c r="AF158" s="23"/>
      <c r="AG158" s="23"/>
      <c r="AH158" s="22"/>
      <c r="AI158" s="22"/>
      <c r="AJ158" s="22"/>
      <c r="AK158" s="22"/>
      <c r="AO158" s="23"/>
      <c r="AP158" s="23"/>
      <c r="AQ158" s="23"/>
      <c r="AS158" s="23"/>
      <c r="AT158" s="23"/>
      <c r="AV158" s="23"/>
      <c r="BI158" s="23"/>
      <c r="BK158" s="23"/>
      <c r="BL158" s="22"/>
      <c r="BM158" s="22"/>
      <c r="BN158" s="22"/>
      <c r="BO158" s="22"/>
    </row>
    <row r="159" spans="9:67" customFormat="1" ht="16.5">
      <c r="I159" s="22"/>
      <c r="R159" s="22"/>
      <c r="X159" s="22"/>
      <c r="Z159" s="23"/>
      <c r="AA159" s="23"/>
      <c r="AB159" s="23"/>
      <c r="AC159" s="23"/>
      <c r="AD159" s="23"/>
      <c r="AE159" s="23"/>
      <c r="AF159" s="23"/>
      <c r="AG159" s="23"/>
      <c r="AH159" s="22"/>
      <c r="AI159" s="22"/>
      <c r="AJ159" s="22"/>
      <c r="AK159" s="22"/>
      <c r="AO159" s="23"/>
      <c r="AP159" s="23"/>
      <c r="AQ159" s="23"/>
      <c r="AS159" s="23"/>
      <c r="AT159" s="23"/>
      <c r="AV159" s="23"/>
      <c r="BB159" s="23"/>
      <c r="BI159" s="23"/>
      <c r="BK159" s="23"/>
      <c r="BL159" s="22"/>
      <c r="BM159" s="22"/>
      <c r="BN159" s="22"/>
      <c r="BO159" s="22"/>
    </row>
    <row r="160" spans="9:67" customFormat="1" ht="16.5">
      <c r="I160" s="22"/>
      <c r="R160" s="22"/>
      <c r="X160" s="22"/>
      <c r="Z160" s="23"/>
      <c r="AA160" s="23"/>
      <c r="AB160" s="23"/>
      <c r="AC160" s="23"/>
      <c r="AD160" s="23"/>
      <c r="AE160" s="23"/>
      <c r="AF160" s="23"/>
      <c r="AG160" s="23"/>
      <c r="AH160" s="22"/>
      <c r="AI160" s="22"/>
      <c r="AJ160" s="22"/>
      <c r="AK160" s="22"/>
      <c r="AO160" s="23"/>
      <c r="AP160" s="23"/>
      <c r="AQ160" s="23"/>
      <c r="AS160" s="23"/>
      <c r="AT160" s="23"/>
      <c r="AV160" s="23"/>
      <c r="BB160" s="23"/>
      <c r="BI160" s="23"/>
      <c r="BK160" s="23"/>
      <c r="BL160" s="22"/>
      <c r="BM160" s="22"/>
      <c r="BN160" s="22"/>
      <c r="BO160" s="22"/>
    </row>
    <row r="161" spans="9:67" customFormat="1" ht="16.5">
      <c r="I161" s="22"/>
      <c r="R161" s="22"/>
      <c r="X161" s="22"/>
      <c r="Z161" s="23"/>
      <c r="AA161" s="23"/>
      <c r="AB161" s="23"/>
      <c r="AC161" s="23"/>
      <c r="AD161" s="23"/>
      <c r="AE161" s="23"/>
      <c r="AF161" s="23"/>
      <c r="AG161" s="23"/>
      <c r="AH161" s="22"/>
      <c r="AI161" s="22"/>
      <c r="AJ161" s="22"/>
      <c r="AK161" s="22"/>
      <c r="AO161" s="23"/>
      <c r="AP161" s="23"/>
      <c r="AQ161" s="23"/>
      <c r="AS161" s="23"/>
      <c r="AT161" s="23"/>
      <c r="BI161" s="23"/>
      <c r="BK161" s="23"/>
      <c r="BL161" s="22"/>
      <c r="BM161" s="22"/>
      <c r="BN161" s="22"/>
      <c r="BO161" s="22"/>
    </row>
    <row r="162" spans="9:67" customFormat="1" ht="16.5">
      <c r="I162" s="22"/>
      <c r="R162" s="22"/>
      <c r="X162" s="22"/>
      <c r="Z162" s="23"/>
      <c r="AA162" s="23"/>
      <c r="AB162" s="23"/>
      <c r="AC162" s="23"/>
      <c r="AD162" s="23"/>
      <c r="AE162" s="23"/>
      <c r="AF162" s="23"/>
      <c r="AG162" s="23"/>
      <c r="AH162" s="22"/>
      <c r="AI162" s="22"/>
      <c r="AJ162" s="22"/>
      <c r="AK162" s="22"/>
      <c r="AO162" s="23"/>
      <c r="AP162" s="23"/>
      <c r="AQ162" s="23"/>
      <c r="AS162" s="23"/>
      <c r="AT162" s="23"/>
      <c r="BI162" s="23"/>
      <c r="BK162" s="23"/>
      <c r="BL162" s="22"/>
      <c r="BM162" s="22"/>
      <c r="BN162" s="22"/>
      <c r="BO162" s="22"/>
    </row>
    <row r="163" spans="9:67" customFormat="1" ht="16.5">
      <c r="I163" s="22"/>
      <c r="R163" s="22"/>
      <c r="X163" s="22"/>
      <c r="Z163" s="23"/>
      <c r="AA163" s="23"/>
      <c r="AB163" s="23"/>
      <c r="AC163" s="23"/>
      <c r="AD163" s="23"/>
      <c r="AE163" s="23"/>
      <c r="AF163" s="23"/>
      <c r="AG163" s="23"/>
      <c r="AH163" s="22"/>
      <c r="AI163" s="22"/>
      <c r="AJ163" s="22"/>
      <c r="AK163" s="22"/>
      <c r="AO163" s="23"/>
      <c r="AP163" s="23"/>
      <c r="AQ163" s="23"/>
      <c r="AS163" s="23"/>
      <c r="AT163" s="23"/>
      <c r="BI163" s="23"/>
      <c r="BK163" s="23"/>
      <c r="BL163" s="22"/>
      <c r="BM163" s="22"/>
      <c r="BN163" s="22"/>
      <c r="BO163" s="22"/>
    </row>
    <row r="164" spans="9:67" customFormat="1" ht="16.5">
      <c r="I164" s="22"/>
      <c r="R164" s="22"/>
      <c r="X164" s="22"/>
      <c r="Z164" s="23"/>
      <c r="AA164" s="23"/>
      <c r="AB164" s="23"/>
      <c r="AC164" s="23"/>
      <c r="AD164" s="23"/>
      <c r="AE164" s="23"/>
      <c r="AF164" s="23"/>
      <c r="AG164" s="23"/>
      <c r="AH164" s="22"/>
      <c r="AI164" s="22"/>
      <c r="AJ164" s="22"/>
      <c r="AK164" s="22"/>
      <c r="AO164" s="23"/>
      <c r="AP164" s="23"/>
      <c r="AQ164" s="23"/>
      <c r="AS164" s="23"/>
      <c r="AT164" s="23"/>
      <c r="BI164" s="23"/>
      <c r="BK164" s="23"/>
      <c r="BL164" s="22"/>
      <c r="BM164" s="22"/>
      <c r="BN164" s="22"/>
      <c r="BO164" s="22"/>
    </row>
    <row r="165" spans="9:67" customFormat="1" ht="16.5">
      <c r="I165" s="22"/>
      <c r="R165" s="22"/>
      <c r="X165" s="22"/>
      <c r="Z165" s="23"/>
      <c r="AA165" s="23"/>
      <c r="AB165" s="23"/>
      <c r="AC165" s="23"/>
      <c r="AD165" s="23"/>
      <c r="AE165" s="23"/>
      <c r="AF165" s="23"/>
      <c r="AG165" s="23"/>
      <c r="AH165" s="22"/>
      <c r="AI165" s="22"/>
      <c r="AJ165" s="22"/>
      <c r="AK165" s="22"/>
      <c r="AO165" s="23"/>
      <c r="AP165" s="23"/>
      <c r="AQ165" s="23"/>
      <c r="AS165" s="23"/>
      <c r="AT165" s="23"/>
      <c r="BI165" s="23"/>
      <c r="BK165" s="23"/>
      <c r="BL165" s="22"/>
      <c r="BM165" s="22"/>
      <c r="BN165" s="22"/>
      <c r="BO165" s="22"/>
    </row>
    <row r="166" spans="9:67" customFormat="1" ht="16.5">
      <c r="I166" s="22"/>
      <c r="R166" s="22"/>
      <c r="X166" s="22"/>
      <c r="Z166" s="23"/>
      <c r="AA166" s="23"/>
      <c r="AB166" s="23"/>
      <c r="AC166" s="23"/>
      <c r="AD166" s="23"/>
      <c r="AE166" s="23"/>
      <c r="AF166" s="23"/>
      <c r="AG166" s="23"/>
      <c r="AH166" s="22"/>
      <c r="AI166" s="22"/>
      <c r="AJ166" s="22"/>
      <c r="AK166" s="22"/>
      <c r="AO166" s="23"/>
      <c r="AP166" s="23"/>
      <c r="AQ166" s="23"/>
      <c r="AS166" s="23"/>
      <c r="AT166" s="23"/>
      <c r="AV166" s="23"/>
      <c r="BB166" s="23"/>
      <c r="BI166" s="23"/>
      <c r="BK166" s="23"/>
      <c r="BL166" s="22"/>
      <c r="BM166" s="22"/>
      <c r="BN166" s="22"/>
      <c r="BO166" s="22"/>
    </row>
    <row r="167" spans="9:67" customFormat="1" ht="16.5">
      <c r="I167" s="22"/>
      <c r="R167" s="22"/>
      <c r="X167" s="22"/>
      <c r="Z167" s="23"/>
      <c r="AA167" s="23"/>
      <c r="AB167" s="23"/>
      <c r="AC167" s="23"/>
      <c r="AD167" s="23"/>
      <c r="AE167" s="23"/>
      <c r="AF167" s="23"/>
      <c r="AG167" s="23"/>
      <c r="AH167" s="22"/>
      <c r="AI167" s="22"/>
      <c r="AJ167" s="22"/>
      <c r="AK167" s="22"/>
      <c r="AO167" s="23"/>
      <c r="AP167" s="23"/>
      <c r="AQ167" s="23"/>
      <c r="AS167" s="23"/>
      <c r="AT167" s="23"/>
      <c r="AV167" s="23"/>
      <c r="BB167" s="23"/>
      <c r="BI167" s="23"/>
      <c r="BK167" s="23"/>
      <c r="BL167" s="22"/>
      <c r="BM167" s="22"/>
      <c r="BN167" s="22"/>
      <c r="BO167" s="22"/>
    </row>
    <row r="168" spans="9:67" customFormat="1" ht="16.5">
      <c r="I168" s="22"/>
      <c r="R168" s="22"/>
      <c r="X168" s="22"/>
      <c r="Z168" s="23"/>
      <c r="AA168" s="23"/>
      <c r="AB168" s="23"/>
      <c r="AC168" s="23"/>
      <c r="AD168" s="23"/>
      <c r="AE168" s="23"/>
      <c r="AF168" s="23"/>
      <c r="AG168" s="23"/>
      <c r="AH168" s="22"/>
      <c r="AI168" s="22"/>
      <c r="AJ168" s="22"/>
      <c r="AK168" s="22"/>
      <c r="AO168" s="23"/>
      <c r="AP168" s="23"/>
      <c r="AQ168" s="23"/>
      <c r="AS168" s="23"/>
      <c r="AT168" s="23"/>
      <c r="AV168" s="23"/>
      <c r="BB168" s="23"/>
      <c r="BI168" s="23"/>
      <c r="BK168" s="23"/>
      <c r="BL168" s="22"/>
      <c r="BM168" s="22"/>
      <c r="BN168" s="22"/>
      <c r="BO168" s="22"/>
    </row>
    <row r="169" spans="9:67" customFormat="1" ht="16.5">
      <c r="I169" s="22"/>
      <c r="R169" s="22"/>
      <c r="X169" s="22"/>
      <c r="Z169" s="23"/>
      <c r="AA169" s="23"/>
      <c r="AB169" s="23"/>
      <c r="AC169" s="23"/>
      <c r="AD169" s="23"/>
      <c r="AE169" s="23"/>
      <c r="AF169" s="23"/>
      <c r="AG169" s="23"/>
      <c r="AH169" s="22"/>
      <c r="AI169" s="22"/>
      <c r="AJ169" s="22"/>
      <c r="AK169" s="22"/>
      <c r="AO169" s="23"/>
      <c r="AP169" s="23"/>
      <c r="AQ169" s="23"/>
      <c r="AS169" s="23"/>
      <c r="AT169" s="23"/>
      <c r="AV169" s="23"/>
      <c r="BB169" s="23"/>
      <c r="BI169" s="23"/>
      <c r="BK169" s="23"/>
      <c r="BL169" s="22"/>
      <c r="BM169" s="22"/>
      <c r="BN169" s="22"/>
      <c r="BO169" s="22"/>
    </row>
    <row r="170" spans="9:67" customFormat="1" ht="16.5">
      <c r="I170" s="22"/>
      <c r="R170" s="22"/>
      <c r="X170" s="22"/>
      <c r="Z170" s="23"/>
      <c r="AA170" s="23"/>
      <c r="AB170" s="23"/>
      <c r="AC170" s="23"/>
      <c r="AD170" s="23"/>
      <c r="AE170" s="23"/>
      <c r="AF170" s="23"/>
      <c r="AG170" s="23"/>
      <c r="AH170" s="22"/>
      <c r="AI170" s="22"/>
      <c r="AJ170" s="22"/>
      <c r="AK170" s="22"/>
      <c r="AO170" s="23"/>
      <c r="AP170" s="23"/>
      <c r="AQ170" s="23"/>
      <c r="AS170" s="23"/>
      <c r="AT170" s="23"/>
      <c r="AV170" s="23"/>
      <c r="BB170" s="23"/>
      <c r="BI170" s="23"/>
      <c r="BK170" s="23"/>
      <c r="BL170" s="22"/>
      <c r="BM170" s="22"/>
      <c r="BN170" s="22"/>
      <c r="BO170" s="22"/>
    </row>
    <row r="171" spans="9:67" customFormat="1" ht="16.5">
      <c r="I171" s="22"/>
      <c r="R171" s="22"/>
      <c r="X171" s="22"/>
      <c r="Z171" s="23"/>
      <c r="AA171" s="23"/>
      <c r="AB171" s="23"/>
      <c r="AC171" s="23"/>
      <c r="AD171" s="23"/>
      <c r="AE171" s="23"/>
      <c r="AF171" s="23"/>
      <c r="AG171" s="23"/>
      <c r="AH171" s="22"/>
      <c r="AI171" s="22"/>
      <c r="AJ171" s="22"/>
      <c r="AK171" s="22"/>
      <c r="AO171" s="23"/>
      <c r="AP171" s="23"/>
      <c r="AQ171" s="23"/>
      <c r="AS171" s="23"/>
      <c r="AT171" s="23"/>
      <c r="AV171" s="23"/>
      <c r="BB171" s="23"/>
      <c r="BI171" s="23"/>
      <c r="BK171" s="23"/>
      <c r="BL171" s="22"/>
      <c r="BM171" s="22"/>
      <c r="BN171" s="22"/>
      <c r="BO171" s="22"/>
    </row>
    <row r="172" spans="9:67" customFormat="1" ht="16.5">
      <c r="I172" s="22"/>
      <c r="R172" s="22"/>
      <c r="X172" s="22"/>
      <c r="Z172" s="23"/>
      <c r="AA172" s="23"/>
      <c r="AB172" s="23"/>
      <c r="AC172" s="23"/>
      <c r="AD172" s="23"/>
      <c r="AE172" s="23"/>
      <c r="AF172" s="23"/>
      <c r="AG172" s="23"/>
      <c r="AH172" s="22"/>
      <c r="AI172" s="22"/>
      <c r="AJ172" s="22"/>
      <c r="AK172" s="22"/>
      <c r="AO172" s="23"/>
      <c r="AP172" s="23"/>
      <c r="AQ172" s="23"/>
      <c r="AS172" s="23"/>
      <c r="AT172" s="23"/>
      <c r="AV172" s="23"/>
      <c r="BB172" s="23"/>
      <c r="BI172" s="23"/>
      <c r="BK172" s="23"/>
      <c r="BL172" s="22"/>
      <c r="BM172" s="22"/>
      <c r="BN172" s="22"/>
      <c r="BO172" s="22"/>
    </row>
    <row r="173" spans="9:67" customFormat="1" ht="16.5">
      <c r="I173" s="22"/>
      <c r="R173" s="22"/>
      <c r="X173" s="22"/>
      <c r="Z173" s="23"/>
      <c r="AA173" s="23"/>
      <c r="AB173" s="23"/>
      <c r="AC173" s="23"/>
      <c r="AD173" s="23"/>
      <c r="AE173" s="23"/>
      <c r="AF173" s="23"/>
      <c r="AG173" s="23"/>
      <c r="AH173" s="22"/>
      <c r="AI173" s="22"/>
      <c r="AJ173" s="22"/>
      <c r="AK173" s="22"/>
      <c r="AO173" s="23"/>
      <c r="AP173" s="23"/>
      <c r="AQ173" s="23"/>
      <c r="AS173" s="23"/>
      <c r="AT173" s="23"/>
      <c r="AV173" s="23"/>
      <c r="BB173" s="23"/>
      <c r="BI173" s="23"/>
      <c r="BK173" s="23"/>
      <c r="BL173" s="22"/>
      <c r="BM173" s="22"/>
      <c r="BN173" s="22"/>
      <c r="BO173" s="22"/>
    </row>
    <row r="174" spans="9:67" customFormat="1" ht="16.5">
      <c r="I174" s="22"/>
      <c r="R174" s="22"/>
      <c r="X174" s="22"/>
      <c r="Z174" s="23"/>
      <c r="AA174" s="23"/>
      <c r="AB174" s="23"/>
      <c r="AC174" s="23"/>
      <c r="AD174" s="23"/>
      <c r="AE174" s="23"/>
      <c r="AF174" s="23"/>
      <c r="AG174" s="23"/>
      <c r="AH174" s="22"/>
      <c r="AI174" s="22"/>
      <c r="AJ174" s="22"/>
      <c r="AK174" s="22"/>
      <c r="AO174" s="23"/>
      <c r="AP174" s="23"/>
      <c r="AQ174" s="23"/>
      <c r="AS174" s="23"/>
      <c r="AT174" s="23"/>
      <c r="AV174" s="23"/>
      <c r="BB174" s="23"/>
      <c r="BI174" s="23"/>
      <c r="BK174" s="23"/>
      <c r="BL174" s="22"/>
      <c r="BM174" s="22"/>
      <c r="BN174" s="22"/>
      <c r="BO174" s="22"/>
    </row>
    <row r="175" spans="9:67" customFormat="1" ht="16.5">
      <c r="I175" s="22"/>
      <c r="R175" s="22"/>
      <c r="X175" s="22"/>
      <c r="Z175" s="23"/>
      <c r="AA175" s="23"/>
      <c r="AB175" s="23"/>
      <c r="AC175" s="23"/>
      <c r="AD175" s="23"/>
      <c r="AE175" s="23"/>
      <c r="AF175" s="23"/>
      <c r="AG175" s="23"/>
      <c r="AH175" s="22"/>
      <c r="AI175" s="22"/>
      <c r="AJ175" s="22"/>
      <c r="AK175" s="22"/>
      <c r="AO175" s="23"/>
      <c r="AP175" s="23"/>
      <c r="AQ175" s="23"/>
      <c r="AS175" s="23"/>
      <c r="AT175" s="23"/>
      <c r="AV175" s="23"/>
      <c r="BB175" s="23"/>
      <c r="BI175" s="23"/>
      <c r="BK175" s="23"/>
      <c r="BL175" s="22"/>
      <c r="BM175" s="22"/>
      <c r="BN175" s="22"/>
      <c r="BO175" s="22"/>
    </row>
    <row r="176" spans="9:67" customFormat="1" ht="16.5">
      <c r="I176" s="22"/>
      <c r="R176" s="22"/>
      <c r="X176" s="22"/>
      <c r="Z176" s="23"/>
      <c r="AA176" s="23"/>
      <c r="AB176" s="23"/>
      <c r="AC176" s="23"/>
      <c r="AD176" s="23"/>
      <c r="AE176" s="23"/>
      <c r="AF176" s="23"/>
      <c r="AG176" s="23"/>
      <c r="AH176" s="22"/>
      <c r="AI176" s="22"/>
      <c r="AJ176" s="22"/>
      <c r="AK176" s="22"/>
      <c r="AO176" s="23"/>
      <c r="AP176" s="23"/>
      <c r="AQ176" s="23"/>
      <c r="AS176" s="23"/>
      <c r="AT176" s="23"/>
      <c r="AV176" s="23"/>
      <c r="BB176" s="23"/>
      <c r="BI176" s="23"/>
      <c r="BK176" s="23"/>
      <c r="BL176" s="22"/>
      <c r="BM176" s="22"/>
      <c r="BN176" s="22"/>
      <c r="BO176" s="22"/>
    </row>
    <row r="177" spans="9:67" customFormat="1" ht="16.5">
      <c r="I177" s="22"/>
      <c r="R177" s="22"/>
      <c r="X177" s="22"/>
      <c r="Z177" s="23"/>
      <c r="AA177" s="23"/>
      <c r="AB177" s="23"/>
      <c r="AC177" s="23"/>
      <c r="AD177" s="23"/>
      <c r="AE177" s="23"/>
      <c r="AF177" s="23"/>
      <c r="AG177" s="23"/>
      <c r="AH177" s="22"/>
      <c r="AI177" s="22"/>
      <c r="AJ177" s="22"/>
      <c r="AK177" s="22"/>
      <c r="AO177" s="23"/>
      <c r="AP177" s="23"/>
      <c r="AQ177" s="23"/>
      <c r="AS177" s="23"/>
      <c r="AT177" s="23"/>
      <c r="AV177" s="23"/>
      <c r="BI177" s="23"/>
      <c r="BK177" s="23"/>
      <c r="BL177" s="22"/>
      <c r="BM177" s="22"/>
      <c r="BN177" s="22"/>
      <c r="BO177" s="22"/>
    </row>
    <row r="178" spans="9:67" customFormat="1" ht="16.5">
      <c r="I178" s="22"/>
      <c r="R178" s="22"/>
      <c r="X178" s="22"/>
      <c r="Z178" s="23"/>
      <c r="AA178" s="23"/>
      <c r="AB178" s="23"/>
      <c r="AC178" s="23"/>
      <c r="AD178" s="23"/>
      <c r="AE178" s="23"/>
      <c r="AF178" s="23"/>
      <c r="AG178" s="23"/>
      <c r="AH178" s="22"/>
      <c r="AI178" s="22"/>
      <c r="AJ178" s="22"/>
      <c r="AK178" s="22"/>
      <c r="AO178" s="23"/>
      <c r="AP178" s="23"/>
      <c r="AQ178" s="23"/>
      <c r="AS178" s="23"/>
      <c r="AT178" s="23"/>
      <c r="AV178" s="23"/>
      <c r="BI178" s="23"/>
      <c r="BK178" s="23"/>
      <c r="BL178" s="22"/>
      <c r="BM178" s="22"/>
      <c r="BN178" s="22"/>
      <c r="BO178" s="22"/>
    </row>
    <row r="179" spans="9:67" customFormat="1" ht="16.5">
      <c r="I179" s="22"/>
      <c r="R179" s="22"/>
      <c r="X179" s="22"/>
      <c r="Z179" s="23"/>
      <c r="AA179" s="23"/>
      <c r="AB179" s="23"/>
      <c r="AC179" s="23"/>
      <c r="AD179" s="23"/>
      <c r="AE179" s="23"/>
      <c r="AF179" s="23"/>
      <c r="AG179" s="23"/>
      <c r="AH179" s="22"/>
      <c r="AI179" s="22"/>
      <c r="AJ179" s="22"/>
      <c r="AK179" s="22"/>
      <c r="AO179" s="23"/>
      <c r="AP179" s="23"/>
      <c r="AQ179" s="23"/>
      <c r="AS179" s="23"/>
      <c r="AT179" s="23"/>
      <c r="AV179" s="23"/>
      <c r="BI179" s="23"/>
      <c r="BK179" s="23"/>
      <c r="BL179" s="22"/>
      <c r="BM179" s="22"/>
      <c r="BN179" s="22"/>
      <c r="BO179" s="22"/>
    </row>
    <row r="180" spans="9:67" customFormat="1" ht="16.5">
      <c r="I180" s="22"/>
      <c r="R180" s="22"/>
      <c r="X180" s="22"/>
      <c r="Z180" s="23"/>
      <c r="AA180" s="23"/>
      <c r="AB180" s="23"/>
      <c r="AC180" s="23"/>
      <c r="AD180" s="23"/>
      <c r="AE180" s="23"/>
      <c r="AF180" s="23"/>
      <c r="AG180" s="23"/>
      <c r="AH180" s="22"/>
      <c r="AI180" s="22"/>
      <c r="AJ180" s="22"/>
      <c r="AK180" s="22"/>
      <c r="AO180" s="23"/>
      <c r="AP180" s="23"/>
      <c r="AQ180" s="23"/>
      <c r="AS180" s="23"/>
      <c r="AT180" s="23"/>
      <c r="AV180" s="23"/>
      <c r="BI180" s="23"/>
      <c r="BK180" s="23"/>
      <c r="BL180" s="22"/>
      <c r="BM180" s="22"/>
      <c r="BN180" s="22"/>
      <c r="BO180" s="22"/>
    </row>
    <row r="181" spans="9:67" customFormat="1" ht="16.5">
      <c r="I181" s="22"/>
      <c r="R181" s="22"/>
      <c r="X181" s="22"/>
      <c r="Z181" s="23"/>
      <c r="AA181" s="23"/>
      <c r="AB181" s="23"/>
      <c r="AC181" s="23"/>
      <c r="AD181" s="23"/>
      <c r="AE181" s="23"/>
      <c r="AF181" s="23"/>
      <c r="AG181" s="23"/>
      <c r="AH181" s="22"/>
      <c r="AI181" s="22"/>
      <c r="AJ181" s="22"/>
      <c r="AK181" s="22"/>
      <c r="AO181" s="23"/>
      <c r="AP181" s="23"/>
      <c r="AQ181" s="23"/>
      <c r="AS181" s="23"/>
      <c r="AT181" s="23"/>
      <c r="AV181" s="23"/>
      <c r="BB181" s="23"/>
      <c r="BI181" s="23"/>
      <c r="BK181" s="23"/>
      <c r="BL181" s="22"/>
      <c r="BM181" s="22"/>
      <c r="BN181" s="22"/>
      <c r="BO181" s="22"/>
    </row>
    <row r="182" spans="9:67" customFormat="1" ht="16.5">
      <c r="I182" s="22"/>
      <c r="R182" s="22"/>
      <c r="X182" s="22"/>
      <c r="Z182" s="23"/>
      <c r="AA182" s="23"/>
      <c r="AB182" s="23"/>
      <c r="AC182" s="23"/>
      <c r="AD182" s="23"/>
      <c r="AE182" s="23"/>
      <c r="AF182" s="23"/>
      <c r="AG182" s="23"/>
      <c r="AH182" s="22"/>
      <c r="AI182" s="22"/>
      <c r="AJ182" s="22"/>
      <c r="AK182" s="22"/>
      <c r="AO182" s="23"/>
      <c r="AP182" s="23"/>
      <c r="AQ182" s="23"/>
      <c r="AS182" s="23"/>
      <c r="AT182" s="23"/>
      <c r="AV182" s="23"/>
      <c r="BB182" s="23"/>
      <c r="BI182" s="23"/>
      <c r="BK182" s="23"/>
      <c r="BL182" s="22"/>
      <c r="BM182" s="22"/>
      <c r="BN182" s="22"/>
      <c r="BO182" s="22"/>
    </row>
    <row r="183" spans="9:67" customFormat="1" ht="16.5">
      <c r="I183" s="22"/>
      <c r="R183" s="22"/>
      <c r="X183" s="22"/>
      <c r="Z183" s="23"/>
      <c r="AA183" s="23"/>
      <c r="AB183" s="23"/>
      <c r="AC183" s="23"/>
      <c r="AD183" s="23"/>
      <c r="AE183" s="23"/>
      <c r="AF183" s="23"/>
      <c r="AG183" s="23"/>
      <c r="AH183" s="22"/>
      <c r="AI183" s="22"/>
      <c r="AJ183" s="22"/>
      <c r="AK183" s="22"/>
      <c r="AO183" s="23"/>
      <c r="AP183" s="23"/>
      <c r="AQ183" s="23"/>
      <c r="AS183" s="23"/>
      <c r="AT183" s="23"/>
      <c r="AV183" s="23"/>
      <c r="BB183" s="23"/>
      <c r="BI183" s="23"/>
      <c r="BK183" s="23"/>
      <c r="BL183" s="22"/>
      <c r="BM183" s="22"/>
      <c r="BN183" s="22"/>
      <c r="BO183" s="22"/>
    </row>
    <row r="184" spans="9:67" customFormat="1" ht="16.5">
      <c r="I184" s="22"/>
      <c r="R184" s="22"/>
      <c r="X184" s="22"/>
      <c r="Z184" s="23"/>
      <c r="AA184" s="23"/>
      <c r="AB184" s="23"/>
      <c r="AC184" s="23"/>
      <c r="AD184" s="23"/>
      <c r="AE184" s="23"/>
      <c r="AF184" s="23"/>
      <c r="AG184" s="23"/>
      <c r="AH184" s="22"/>
      <c r="AI184" s="22"/>
      <c r="AJ184" s="22"/>
      <c r="AK184" s="22"/>
      <c r="AO184" s="23"/>
      <c r="AP184" s="23"/>
      <c r="AQ184" s="23"/>
      <c r="AS184" s="23"/>
      <c r="AT184" s="23"/>
      <c r="AV184" s="23"/>
      <c r="BB184" s="23"/>
      <c r="BI184" s="23"/>
      <c r="BK184" s="23"/>
      <c r="BL184" s="22"/>
      <c r="BM184" s="22"/>
      <c r="BN184" s="22"/>
      <c r="BO184" s="22"/>
    </row>
    <row r="185" spans="9:67" customFormat="1" ht="16.5">
      <c r="I185" s="22"/>
      <c r="R185" s="22"/>
      <c r="X185" s="22"/>
      <c r="Z185" s="23"/>
      <c r="AA185" s="23"/>
      <c r="AB185" s="23"/>
      <c r="AC185" s="23"/>
      <c r="AD185" s="23"/>
      <c r="AE185" s="23"/>
      <c r="AF185" s="23"/>
      <c r="AG185" s="23"/>
      <c r="AH185" s="22"/>
      <c r="AI185" s="22"/>
      <c r="AJ185" s="22"/>
      <c r="AK185" s="22"/>
      <c r="AO185" s="23"/>
      <c r="AP185" s="23"/>
      <c r="AQ185" s="23"/>
      <c r="AS185" s="23"/>
      <c r="AT185" s="23"/>
      <c r="AV185" s="23"/>
      <c r="BB185" s="23"/>
      <c r="BI185" s="23"/>
      <c r="BK185" s="23"/>
      <c r="BL185" s="22"/>
      <c r="BM185" s="22"/>
      <c r="BN185" s="22"/>
      <c r="BO185" s="22"/>
    </row>
    <row r="186" spans="9:67" customFormat="1" ht="16.5">
      <c r="I186" s="22"/>
      <c r="R186" s="22"/>
      <c r="X186" s="22"/>
      <c r="Z186" s="23"/>
      <c r="AA186" s="23"/>
      <c r="AB186" s="23"/>
      <c r="AC186" s="23"/>
      <c r="AD186" s="23"/>
      <c r="AE186" s="23"/>
      <c r="AF186" s="23"/>
      <c r="AG186" s="23"/>
      <c r="AH186" s="22"/>
      <c r="AI186" s="22"/>
      <c r="AJ186" s="22"/>
      <c r="AK186" s="22"/>
      <c r="AO186" s="23"/>
      <c r="AP186" s="23"/>
      <c r="AQ186" s="23"/>
      <c r="AS186" s="23"/>
      <c r="AT186" s="23"/>
      <c r="AV186" s="23"/>
      <c r="BB186" s="23"/>
      <c r="BI186" s="23"/>
      <c r="BK186" s="23"/>
      <c r="BL186" s="22"/>
      <c r="BM186" s="22"/>
      <c r="BN186" s="22"/>
      <c r="BO186" s="22"/>
    </row>
    <row r="187" spans="9:67" customFormat="1" ht="16.5">
      <c r="I187" s="22"/>
      <c r="R187" s="22"/>
      <c r="X187" s="22"/>
      <c r="Z187" s="23"/>
      <c r="AA187" s="23"/>
      <c r="AB187" s="23"/>
      <c r="AC187" s="23"/>
      <c r="AD187" s="23"/>
      <c r="AE187" s="23"/>
      <c r="AF187" s="23"/>
      <c r="AG187" s="23"/>
      <c r="AH187" s="22"/>
      <c r="AI187" s="22"/>
      <c r="AJ187" s="22"/>
      <c r="AK187" s="22"/>
      <c r="AO187" s="23"/>
      <c r="AP187" s="23"/>
      <c r="AQ187" s="23"/>
      <c r="AS187" s="23"/>
      <c r="AT187" s="23"/>
      <c r="AV187" s="23"/>
      <c r="BB187" s="23"/>
      <c r="BI187" s="23"/>
      <c r="BK187" s="23"/>
      <c r="BL187" s="22"/>
      <c r="BM187" s="22"/>
      <c r="BN187" s="22"/>
      <c r="BO187" s="22"/>
    </row>
    <row r="188" spans="9:67" customFormat="1" ht="16.5">
      <c r="I188" s="22"/>
      <c r="R188" s="22"/>
      <c r="X188" s="22"/>
      <c r="Z188" s="23"/>
      <c r="AA188" s="23"/>
      <c r="AB188" s="23"/>
      <c r="AC188" s="23"/>
      <c r="AD188" s="23"/>
      <c r="AE188" s="23"/>
      <c r="AF188" s="23"/>
      <c r="AG188" s="23"/>
      <c r="AH188" s="22"/>
      <c r="AI188" s="22"/>
      <c r="AJ188" s="22"/>
      <c r="AK188" s="22"/>
      <c r="AO188" s="23"/>
      <c r="AP188" s="23"/>
      <c r="AQ188" s="23"/>
      <c r="AS188" s="23"/>
      <c r="AT188" s="23"/>
      <c r="AV188" s="23"/>
      <c r="BI188" s="23"/>
      <c r="BK188" s="23"/>
      <c r="BL188" s="22"/>
      <c r="BM188" s="22"/>
      <c r="BN188" s="22"/>
      <c r="BO188" s="22"/>
    </row>
    <row r="189" spans="9:67" customFormat="1" ht="16.5">
      <c r="I189" s="22"/>
      <c r="R189" s="22"/>
      <c r="X189" s="22"/>
      <c r="Z189" s="23"/>
      <c r="AA189" s="23"/>
      <c r="AB189" s="23"/>
      <c r="AC189" s="23"/>
      <c r="AD189" s="23"/>
      <c r="AE189" s="23"/>
      <c r="AF189" s="23"/>
      <c r="AG189" s="23"/>
      <c r="AH189" s="22"/>
      <c r="AI189" s="22"/>
      <c r="AJ189" s="22"/>
      <c r="AK189" s="22"/>
      <c r="AO189" s="23"/>
      <c r="AP189" s="23"/>
      <c r="AQ189" s="23"/>
      <c r="AS189" s="23"/>
      <c r="AT189" s="23"/>
      <c r="AV189" s="23"/>
      <c r="BI189" s="23"/>
      <c r="BK189" s="23"/>
      <c r="BL189" s="22"/>
      <c r="BM189" s="22"/>
      <c r="BN189" s="22"/>
      <c r="BO189" s="22"/>
    </row>
    <row r="190" spans="9:67" customFormat="1" ht="16.5">
      <c r="I190" s="22"/>
      <c r="R190" s="22"/>
      <c r="X190" s="22"/>
      <c r="Z190" s="23"/>
      <c r="AA190" s="23"/>
      <c r="AB190" s="23"/>
      <c r="AC190" s="23"/>
      <c r="AD190" s="23"/>
      <c r="AE190" s="23"/>
      <c r="AF190" s="23"/>
      <c r="AG190" s="23"/>
      <c r="AH190" s="22"/>
      <c r="AI190" s="22"/>
      <c r="AJ190" s="22"/>
      <c r="AK190" s="22"/>
      <c r="AO190" s="23"/>
      <c r="AP190" s="23"/>
      <c r="AQ190" s="23"/>
      <c r="AS190" s="23"/>
      <c r="AT190" s="23"/>
      <c r="AV190" s="23"/>
      <c r="BB190" s="23"/>
      <c r="BI190" s="23"/>
      <c r="BK190" s="23"/>
      <c r="BL190" s="22"/>
      <c r="BM190" s="22"/>
      <c r="BN190" s="22"/>
      <c r="BO190" s="22"/>
    </row>
    <row r="191" spans="9:67" customFormat="1" ht="16.5">
      <c r="I191" s="22"/>
      <c r="R191" s="22"/>
      <c r="X191" s="22"/>
      <c r="Z191" s="23"/>
      <c r="AA191" s="23"/>
      <c r="AB191" s="23"/>
      <c r="AC191" s="23"/>
      <c r="AD191" s="23"/>
      <c r="AE191" s="23"/>
      <c r="AF191" s="23"/>
      <c r="AG191" s="23"/>
      <c r="AH191" s="22"/>
      <c r="AI191" s="22"/>
      <c r="AJ191" s="22"/>
      <c r="AK191" s="22"/>
      <c r="AO191" s="23"/>
      <c r="AP191" s="23"/>
      <c r="AQ191" s="23"/>
      <c r="AS191" s="23"/>
      <c r="AT191" s="23"/>
      <c r="AV191" s="23"/>
      <c r="BB191" s="23"/>
      <c r="BI191" s="23"/>
      <c r="BK191" s="23"/>
      <c r="BL191" s="22"/>
      <c r="BM191" s="22"/>
      <c r="BN191" s="22"/>
      <c r="BO191" s="22"/>
    </row>
    <row r="192" spans="9:67" customFormat="1" ht="16.5">
      <c r="I192" s="22"/>
      <c r="R192" s="22"/>
      <c r="X192" s="22"/>
      <c r="Z192" s="23"/>
      <c r="AA192" s="23"/>
      <c r="AB192" s="23"/>
      <c r="AC192" s="23"/>
      <c r="AD192" s="23"/>
      <c r="AE192" s="23"/>
      <c r="AF192" s="23"/>
      <c r="AG192" s="23"/>
      <c r="AH192" s="22"/>
      <c r="AI192" s="22"/>
      <c r="AJ192" s="22"/>
      <c r="AK192" s="22"/>
      <c r="AO192" s="23"/>
      <c r="AP192" s="23"/>
      <c r="AQ192" s="23"/>
      <c r="AS192" s="23"/>
      <c r="AT192" s="23"/>
      <c r="AV192" s="23"/>
      <c r="BB192" s="23"/>
      <c r="BI192" s="23"/>
      <c r="BK192" s="23"/>
      <c r="BL192" s="22"/>
      <c r="BM192" s="22"/>
      <c r="BN192" s="22"/>
      <c r="BO192" s="22"/>
    </row>
    <row r="193" spans="9:67" customFormat="1" ht="16.5">
      <c r="I193" s="22"/>
      <c r="R193" s="22"/>
      <c r="X193" s="22"/>
      <c r="Z193" s="23"/>
      <c r="AA193" s="23"/>
      <c r="AB193" s="23"/>
      <c r="AC193" s="23"/>
      <c r="AD193" s="23"/>
      <c r="AE193" s="23"/>
      <c r="AF193" s="23"/>
      <c r="AG193" s="23"/>
      <c r="AH193" s="22"/>
      <c r="AI193" s="22"/>
      <c r="AJ193" s="22"/>
      <c r="AK193" s="22"/>
      <c r="AO193" s="23"/>
      <c r="AP193" s="23"/>
      <c r="AQ193" s="23"/>
      <c r="AS193" s="23"/>
      <c r="AT193" s="23"/>
      <c r="AV193" s="23"/>
      <c r="BB193" s="23"/>
      <c r="BI193" s="23"/>
      <c r="BK193" s="23"/>
      <c r="BL193" s="22"/>
      <c r="BM193" s="22"/>
      <c r="BN193" s="22"/>
      <c r="BO193" s="22"/>
    </row>
    <row r="194" spans="9:67" customFormat="1" ht="16.5">
      <c r="I194" s="22"/>
      <c r="R194" s="22"/>
      <c r="X194" s="22"/>
      <c r="Z194" s="23"/>
      <c r="AA194" s="23"/>
      <c r="AB194" s="23"/>
      <c r="AC194" s="23"/>
      <c r="AD194" s="23"/>
      <c r="AE194" s="23"/>
      <c r="AF194" s="23"/>
      <c r="AG194" s="23"/>
      <c r="AH194" s="22"/>
      <c r="AI194" s="22"/>
      <c r="AJ194" s="22"/>
      <c r="AK194" s="22"/>
      <c r="AO194" s="23"/>
      <c r="AP194" s="23"/>
      <c r="AQ194" s="23"/>
      <c r="AS194" s="23"/>
      <c r="AT194" s="23"/>
      <c r="AV194" s="23"/>
      <c r="BB194" s="23"/>
      <c r="BI194" s="23"/>
      <c r="BK194" s="23"/>
      <c r="BL194" s="22"/>
      <c r="BM194" s="22"/>
      <c r="BN194" s="22"/>
      <c r="BO194" s="22"/>
    </row>
    <row r="195" spans="9:67" customFormat="1" ht="16.5">
      <c r="I195" s="22"/>
      <c r="R195" s="22"/>
      <c r="X195" s="22"/>
      <c r="Z195" s="23"/>
      <c r="AA195" s="23"/>
      <c r="AB195" s="23"/>
      <c r="AC195" s="23"/>
      <c r="AD195" s="23"/>
      <c r="AE195" s="23"/>
      <c r="AF195" s="23"/>
      <c r="AG195" s="23"/>
      <c r="AH195" s="22"/>
      <c r="AI195" s="22"/>
      <c r="AJ195" s="22"/>
      <c r="AK195" s="22"/>
      <c r="AO195" s="23"/>
      <c r="AP195" s="23"/>
      <c r="AQ195" s="23"/>
      <c r="AS195" s="23"/>
      <c r="AT195" s="23"/>
      <c r="AV195" s="23"/>
      <c r="BB195" s="23"/>
      <c r="BI195" s="23"/>
      <c r="BK195" s="23"/>
      <c r="BL195" s="22"/>
      <c r="BM195" s="22"/>
      <c r="BN195" s="22"/>
      <c r="BO195" s="22"/>
    </row>
    <row r="196" spans="9:67" customFormat="1" ht="16.5">
      <c r="I196" s="22"/>
      <c r="R196" s="22"/>
      <c r="X196" s="22"/>
      <c r="Z196" s="23"/>
      <c r="AA196" s="23"/>
      <c r="AB196" s="23"/>
      <c r="AC196" s="23"/>
      <c r="AD196" s="23"/>
      <c r="AE196" s="23"/>
      <c r="AF196" s="23"/>
      <c r="AG196" s="23"/>
      <c r="AH196" s="22"/>
      <c r="AI196" s="22"/>
      <c r="AJ196" s="22"/>
      <c r="AK196" s="22"/>
      <c r="AO196" s="23"/>
      <c r="AP196" s="23"/>
      <c r="AQ196" s="23"/>
      <c r="AS196" s="23"/>
      <c r="AT196" s="23"/>
      <c r="AV196" s="23"/>
      <c r="BB196" s="23"/>
      <c r="BI196" s="23"/>
      <c r="BK196" s="23"/>
      <c r="BL196" s="22"/>
      <c r="BM196" s="22"/>
      <c r="BN196" s="22"/>
      <c r="BO196" s="22"/>
    </row>
    <row r="197" spans="9:67" customFormat="1" ht="16.5">
      <c r="I197" s="22"/>
      <c r="R197" s="22"/>
      <c r="X197" s="22"/>
      <c r="Z197" s="23"/>
      <c r="AA197" s="23"/>
      <c r="AB197" s="23"/>
      <c r="AC197" s="23"/>
      <c r="AD197" s="23"/>
      <c r="AE197" s="23"/>
      <c r="AF197" s="23"/>
      <c r="AG197" s="23"/>
      <c r="AH197" s="22"/>
      <c r="AI197" s="22"/>
      <c r="AJ197" s="22"/>
      <c r="AK197" s="22"/>
      <c r="AO197" s="23"/>
      <c r="AP197" s="23"/>
      <c r="AQ197" s="23"/>
      <c r="AS197" s="23"/>
      <c r="AT197" s="23"/>
      <c r="AV197" s="23"/>
      <c r="BB197" s="23"/>
      <c r="BI197" s="23"/>
      <c r="BK197" s="23"/>
      <c r="BL197" s="22"/>
      <c r="BM197" s="22"/>
      <c r="BN197" s="22"/>
      <c r="BO197" s="22"/>
    </row>
    <row r="198" spans="9:67" customFormat="1" ht="16.5">
      <c r="I198" s="22"/>
      <c r="R198" s="22"/>
      <c r="X198" s="22"/>
      <c r="Z198" s="23"/>
      <c r="AA198" s="23"/>
      <c r="AB198" s="23"/>
      <c r="AC198" s="23"/>
      <c r="AD198" s="23"/>
      <c r="AE198" s="23"/>
      <c r="AF198" s="23"/>
      <c r="AG198" s="23"/>
      <c r="AH198" s="22"/>
      <c r="AI198" s="22"/>
      <c r="AJ198" s="22"/>
      <c r="AK198" s="22"/>
      <c r="AO198" s="23"/>
      <c r="AP198" s="23"/>
      <c r="AQ198" s="23"/>
      <c r="AS198" s="23"/>
      <c r="AT198" s="23"/>
      <c r="AV198" s="23"/>
      <c r="BB198" s="23"/>
      <c r="BI198" s="23"/>
      <c r="BK198" s="23"/>
      <c r="BL198" s="22"/>
      <c r="BM198" s="22"/>
      <c r="BN198" s="22"/>
      <c r="BO198" s="22"/>
    </row>
    <row r="199" spans="9:67" customFormat="1" ht="16.5">
      <c r="I199" s="22"/>
      <c r="R199" s="22"/>
      <c r="X199" s="22"/>
      <c r="Z199" s="23"/>
      <c r="AA199" s="23"/>
      <c r="AB199" s="23"/>
      <c r="AC199" s="23"/>
      <c r="AD199" s="23"/>
      <c r="AE199" s="23"/>
      <c r="AF199" s="23"/>
      <c r="AG199" s="23"/>
      <c r="AH199" s="22"/>
      <c r="AI199" s="22"/>
      <c r="AJ199" s="22"/>
      <c r="AK199" s="22"/>
      <c r="AO199" s="23"/>
      <c r="AP199" s="23"/>
      <c r="AQ199" s="23"/>
      <c r="AS199" s="23"/>
      <c r="AT199" s="23"/>
      <c r="AV199" s="23"/>
      <c r="BB199" s="23"/>
      <c r="BI199" s="23"/>
      <c r="BK199" s="23"/>
      <c r="BL199" s="22"/>
      <c r="BM199" s="22"/>
      <c r="BN199" s="22"/>
      <c r="BO199" s="22"/>
    </row>
    <row r="200" spans="9:67" customFormat="1" ht="16.5">
      <c r="I200" s="22"/>
      <c r="R200" s="22"/>
      <c r="X200" s="22"/>
      <c r="Z200" s="23"/>
      <c r="AA200" s="23"/>
      <c r="AB200" s="23"/>
      <c r="AC200" s="23"/>
      <c r="AD200" s="23"/>
      <c r="AE200" s="23"/>
      <c r="AF200" s="23"/>
      <c r="AG200" s="23"/>
      <c r="AH200" s="22"/>
      <c r="AI200" s="22"/>
      <c r="AJ200" s="22"/>
      <c r="AK200" s="22"/>
      <c r="AO200" s="23"/>
      <c r="AP200" s="23"/>
      <c r="AQ200" s="23"/>
      <c r="AS200" s="23"/>
      <c r="AT200" s="23"/>
      <c r="AV200" s="23"/>
      <c r="BB200" s="23"/>
      <c r="BI200" s="23"/>
      <c r="BJ200" s="23"/>
      <c r="BK200" s="23"/>
      <c r="BL200" s="22"/>
      <c r="BM200" s="22"/>
      <c r="BN200" s="22"/>
      <c r="BO200" s="22"/>
    </row>
    <row r="201" spans="9:67" customFormat="1" ht="16.5">
      <c r="I201" s="22"/>
      <c r="R201" s="22"/>
      <c r="X201" s="22"/>
      <c r="Z201" s="23"/>
      <c r="AA201" s="23"/>
      <c r="AB201" s="23"/>
      <c r="AC201" s="23"/>
      <c r="AD201" s="23"/>
      <c r="AE201" s="23"/>
      <c r="AF201" s="23"/>
      <c r="AG201" s="23"/>
      <c r="AH201" s="22"/>
      <c r="AI201" s="22"/>
      <c r="AJ201" s="22"/>
      <c r="AK201" s="22"/>
      <c r="AO201" s="23"/>
      <c r="AP201" s="23"/>
      <c r="AQ201" s="23"/>
      <c r="AS201" s="23"/>
      <c r="AT201" s="23"/>
      <c r="AV201" s="23"/>
      <c r="BB201" s="23"/>
      <c r="BI201" s="23"/>
      <c r="BJ201" s="23"/>
      <c r="BK201" s="23"/>
      <c r="BL201" s="22"/>
      <c r="BM201" s="22"/>
      <c r="BN201" s="22"/>
      <c r="BO201" s="22"/>
    </row>
    <row r="202" spans="9:67" customFormat="1" ht="16.5">
      <c r="I202" s="22"/>
      <c r="R202" s="22"/>
      <c r="X202" s="22"/>
      <c r="Z202" s="23"/>
      <c r="AA202" s="23"/>
      <c r="AB202" s="23"/>
      <c r="AC202" s="23"/>
      <c r="AD202" s="23"/>
      <c r="AE202" s="23"/>
      <c r="AF202" s="23"/>
      <c r="AG202" s="23"/>
      <c r="AH202" s="22"/>
      <c r="AI202" s="22"/>
      <c r="AJ202" s="22"/>
      <c r="AK202" s="22"/>
      <c r="AO202" s="23"/>
      <c r="AP202" s="23"/>
      <c r="AQ202" s="23"/>
      <c r="AS202" s="23"/>
      <c r="AT202" s="23"/>
      <c r="AV202" s="23"/>
      <c r="BB202" s="23"/>
      <c r="BI202" s="23"/>
      <c r="BK202" s="23"/>
      <c r="BL202" s="22"/>
      <c r="BM202" s="22"/>
      <c r="BN202" s="22"/>
      <c r="BO202" s="22"/>
    </row>
    <row r="203" spans="9:67" customFormat="1" ht="16.5">
      <c r="I203" s="22"/>
      <c r="R203" s="22"/>
      <c r="X203" s="22"/>
      <c r="Z203" s="23"/>
      <c r="AA203" s="23"/>
      <c r="AB203" s="23"/>
      <c r="AC203" s="23"/>
      <c r="AD203" s="23"/>
      <c r="AE203" s="23"/>
      <c r="AF203" s="23"/>
      <c r="AG203" s="23"/>
      <c r="AH203" s="22"/>
      <c r="AI203" s="22"/>
      <c r="AJ203" s="22"/>
      <c r="AK203" s="22"/>
      <c r="AO203" s="23"/>
      <c r="AP203" s="23"/>
      <c r="AQ203" s="23"/>
      <c r="AS203" s="23"/>
      <c r="AT203" s="23"/>
      <c r="AV203" s="23"/>
      <c r="BB203" s="23"/>
      <c r="BI203" s="23"/>
      <c r="BK203" s="23"/>
      <c r="BL203" s="22"/>
      <c r="BM203" s="22"/>
      <c r="BN203" s="22"/>
      <c r="BO203" s="22"/>
    </row>
    <row r="204" spans="9:67" customFormat="1" ht="16.5">
      <c r="I204" s="22"/>
      <c r="R204" s="22"/>
      <c r="X204" s="22"/>
      <c r="Z204" s="23"/>
      <c r="AA204" s="23"/>
      <c r="AB204" s="23"/>
      <c r="AC204" s="23"/>
      <c r="AD204" s="23"/>
      <c r="AE204" s="23"/>
      <c r="AF204" s="23"/>
      <c r="AG204" s="23"/>
      <c r="AH204" s="22"/>
      <c r="AI204" s="22"/>
      <c r="AJ204" s="22"/>
      <c r="AK204" s="22"/>
      <c r="AO204" s="23"/>
      <c r="AP204" s="23"/>
      <c r="AQ204" s="23"/>
      <c r="AS204" s="23"/>
      <c r="AT204" s="23"/>
      <c r="AV204" s="23"/>
      <c r="BB204" s="23"/>
      <c r="BI204" s="23"/>
      <c r="BK204" s="23"/>
      <c r="BL204" s="22"/>
      <c r="BM204" s="22"/>
      <c r="BN204" s="22"/>
      <c r="BO204" s="22"/>
    </row>
    <row r="205" spans="9:67" customFormat="1" ht="16.5">
      <c r="I205" s="22"/>
      <c r="R205" s="22"/>
      <c r="X205" s="22"/>
      <c r="Z205" s="23"/>
      <c r="AA205" s="23"/>
      <c r="AB205" s="23"/>
      <c r="AC205" s="23"/>
      <c r="AD205" s="23"/>
      <c r="AE205" s="23"/>
      <c r="AF205" s="23"/>
      <c r="AG205" s="23"/>
      <c r="AH205" s="22"/>
      <c r="AI205" s="22"/>
      <c r="AJ205" s="22"/>
      <c r="AK205" s="22"/>
      <c r="AO205" s="23"/>
      <c r="AP205" s="23"/>
      <c r="AQ205" s="23"/>
      <c r="AS205" s="23"/>
      <c r="AT205" s="23"/>
      <c r="AV205" s="23"/>
      <c r="BB205" s="23"/>
      <c r="BI205" s="23"/>
      <c r="BK205" s="23"/>
      <c r="BL205" s="22"/>
      <c r="BM205" s="22"/>
      <c r="BN205" s="22"/>
      <c r="BO205" s="22"/>
    </row>
    <row r="206" spans="9:67" customFormat="1" ht="16.5">
      <c r="I206" s="22"/>
      <c r="R206" s="22"/>
      <c r="X206" s="22"/>
      <c r="Z206" s="23"/>
      <c r="AA206" s="23"/>
      <c r="AB206" s="23"/>
      <c r="AC206" s="23"/>
      <c r="AD206" s="23"/>
      <c r="AE206" s="23"/>
      <c r="AF206" s="23"/>
      <c r="AG206" s="23"/>
      <c r="AH206" s="22"/>
      <c r="AI206" s="22"/>
      <c r="AJ206" s="22"/>
      <c r="AK206" s="22"/>
      <c r="AO206" s="23"/>
      <c r="AP206" s="23"/>
      <c r="AQ206" s="23"/>
      <c r="AS206" s="23"/>
      <c r="AT206" s="23"/>
      <c r="AV206" s="23"/>
      <c r="BB206" s="23"/>
      <c r="BI206" s="23"/>
      <c r="BK206" s="23"/>
      <c r="BL206" s="22"/>
      <c r="BM206" s="22"/>
      <c r="BN206" s="22"/>
      <c r="BO206" s="22"/>
    </row>
    <row r="207" spans="9:67" customFormat="1" ht="16.5">
      <c r="I207" s="22"/>
      <c r="R207" s="22"/>
      <c r="X207" s="22"/>
      <c r="Z207" s="23"/>
      <c r="AA207" s="23"/>
      <c r="AB207" s="23"/>
      <c r="AC207" s="23"/>
      <c r="AD207" s="23"/>
      <c r="AE207" s="23"/>
      <c r="AF207" s="23"/>
      <c r="AG207" s="23"/>
      <c r="AH207" s="22"/>
      <c r="AI207" s="22"/>
      <c r="AJ207" s="22"/>
      <c r="AK207" s="22"/>
      <c r="AO207" s="23"/>
      <c r="AP207" s="23"/>
      <c r="AQ207" s="23"/>
      <c r="AS207" s="23"/>
      <c r="AT207" s="23"/>
      <c r="AV207" s="23"/>
      <c r="BB207" s="23"/>
      <c r="BI207" s="23"/>
      <c r="BK207" s="23"/>
      <c r="BL207" s="22"/>
      <c r="BM207" s="22"/>
      <c r="BN207" s="22"/>
      <c r="BO207" s="22"/>
    </row>
    <row r="208" spans="9:67" customFormat="1" ht="16.5">
      <c r="I208" s="22"/>
      <c r="R208" s="22"/>
      <c r="X208" s="22"/>
      <c r="Z208" s="23"/>
      <c r="AA208" s="23"/>
      <c r="AB208" s="23"/>
      <c r="AC208" s="23"/>
      <c r="AD208" s="23"/>
      <c r="AE208" s="23"/>
      <c r="AF208" s="23"/>
      <c r="AG208" s="23"/>
      <c r="AH208" s="22"/>
      <c r="AI208" s="22"/>
      <c r="AJ208" s="22"/>
      <c r="AK208" s="22"/>
      <c r="AO208" s="23"/>
      <c r="AP208" s="23"/>
      <c r="AQ208" s="23"/>
      <c r="AS208" s="23"/>
      <c r="AT208" s="23"/>
      <c r="AV208" s="23"/>
      <c r="BB208" s="23"/>
      <c r="BI208" s="23"/>
      <c r="BK208" s="23"/>
      <c r="BL208" s="22"/>
      <c r="BM208" s="22"/>
      <c r="BN208" s="22"/>
      <c r="BO208" s="22"/>
    </row>
    <row r="209" spans="9:67" customFormat="1" ht="16.5">
      <c r="I209" s="22"/>
      <c r="R209" s="22"/>
      <c r="X209" s="22"/>
      <c r="Z209" s="23"/>
      <c r="AA209" s="23"/>
      <c r="AB209" s="23"/>
      <c r="AC209" s="23"/>
      <c r="AD209" s="23"/>
      <c r="AE209" s="23"/>
      <c r="AF209" s="23"/>
      <c r="AG209" s="23"/>
      <c r="AH209" s="22"/>
      <c r="AI209" s="22"/>
      <c r="AJ209" s="22"/>
      <c r="AK209" s="22"/>
      <c r="AO209" s="23"/>
      <c r="AP209" s="23"/>
      <c r="AQ209" s="23"/>
      <c r="AS209" s="23"/>
      <c r="AT209" s="23"/>
      <c r="AV209" s="23"/>
      <c r="BB209" s="23"/>
      <c r="BI209" s="23"/>
      <c r="BK209" s="23"/>
      <c r="BL209" s="22"/>
      <c r="BM209" s="22"/>
      <c r="BN209" s="22"/>
      <c r="BO209" s="22"/>
    </row>
    <row r="210" spans="9:67" customFormat="1" ht="16.5">
      <c r="I210" s="22"/>
      <c r="R210" s="22"/>
      <c r="X210" s="22"/>
      <c r="Z210" s="23"/>
      <c r="AA210" s="23"/>
      <c r="AB210" s="23"/>
      <c r="AC210" s="23"/>
      <c r="AD210" s="23"/>
      <c r="AE210" s="23"/>
      <c r="AF210" s="23"/>
      <c r="AG210" s="23"/>
      <c r="AH210" s="22"/>
      <c r="AI210" s="22"/>
      <c r="AJ210" s="22"/>
      <c r="AK210" s="22"/>
      <c r="AO210" s="23"/>
      <c r="AP210" s="23"/>
      <c r="AQ210" s="23"/>
      <c r="AS210" s="23"/>
      <c r="AT210" s="23"/>
      <c r="BB210" s="23"/>
      <c r="BI210" s="23"/>
      <c r="BK210" s="23"/>
      <c r="BL210" s="22"/>
      <c r="BM210" s="22"/>
      <c r="BN210" s="22"/>
      <c r="BO210" s="22"/>
    </row>
    <row r="211" spans="9:67" customFormat="1" ht="16.5">
      <c r="I211" s="22"/>
      <c r="R211" s="22"/>
      <c r="X211" s="22"/>
      <c r="Z211" s="23"/>
      <c r="AA211" s="23"/>
      <c r="AB211" s="23"/>
      <c r="AC211" s="23"/>
      <c r="AD211" s="23"/>
      <c r="AE211" s="23"/>
      <c r="AF211" s="23"/>
      <c r="AG211" s="23"/>
      <c r="AH211" s="22"/>
      <c r="AI211" s="22"/>
      <c r="AJ211" s="22"/>
      <c r="AK211" s="22"/>
      <c r="AO211" s="23"/>
      <c r="AP211" s="23"/>
      <c r="AQ211" s="23"/>
      <c r="AS211" s="23"/>
      <c r="AT211" s="23"/>
      <c r="BB211" s="23"/>
      <c r="BI211" s="23"/>
      <c r="BK211" s="23"/>
      <c r="BL211" s="22"/>
      <c r="BM211" s="22"/>
      <c r="BN211" s="22"/>
      <c r="BO211" s="22"/>
    </row>
    <row r="212" spans="9:67" customFormat="1" ht="16.5">
      <c r="I212" s="22"/>
      <c r="R212" s="22"/>
      <c r="X212" s="22"/>
      <c r="Z212" s="23"/>
      <c r="AA212" s="23"/>
      <c r="AB212" s="23"/>
      <c r="AC212" s="23"/>
      <c r="AD212" s="23"/>
      <c r="AE212" s="23"/>
      <c r="AF212" s="23"/>
      <c r="AG212" s="23"/>
      <c r="AH212" s="22"/>
      <c r="AI212" s="22"/>
      <c r="AJ212" s="22"/>
      <c r="AK212" s="22"/>
      <c r="AO212" s="23"/>
      <c r="AP212" s="23"/>
      <c r="AQ212" s="23"/>
      <c r="AS212" s="23"/>
      <c r="AT212" s="23"/>
      <c r="BB212" s="23"/>
      <c r="BI212" s="23"/>
      <c r="BK212" s="23"/>
      <c r="BL212" s="22"/>
      <c r="BM212" s="22"/>
      <c r="BN212" s="22"/>
      <c r="BO212" s="22"/>
    </row>
    <row r="213" spans="9:67" customFormat="1" ht="16.5">
      <c r="I213" s="22"/>
      <c r="R213" s="22"/>
      <c r="X213" s="22"/>
      <c r="Z213" s="23"/>
      <c r="AA213" s="23"/>
      <c r="AB213" s="23"/>
      <c r="AC213" s="23"/>
      <c r="AD213" s="23"/>
      <c r="AE213" s="23"/>
      <c r="AF213" s="23"/>
      <c r="AG213" s="23"/>
      <c r="AH213" s="22"/>
      <c r="AI213" s="22"/>
      <c r="AJ213" s="22"/>
      <c r="AK213" s="22"/>
      <c r="AO213" s="23"/>
      <c r="AP213" s="23"/>
      <c r="AQ213" s="23"/>
      <c r="AS213" s="23"/>
      <c r="AT213" s="23"/>
      <c r="BB213" s="23"/>
      <c r="BI213" s="23"/>
      <c r="BK213" s="23"/>
      <c r="BL213" s="22"/>
      <c r="BM213" s="22"/>
      <c r="BN213" s="22"/>
      <c r="BO213" s="22"/>
    </row>
    <row r="214" spans="9:67" customFormat="1" ht="16.5">
      <c r="I214" s="22"/>
      <c r="R214" s="22"/>
      <c r="X214" s="22"/>
      <c r="Z214" s="23"/>
      <c r="AA214" s="23"/>
      <c r="AB214" s="23"/>
      <c r="AC214" s="23"/>
      <c r="AD214" s="23"/>
      <c r="AE214" s="23"/>
      <c r="AF214" s="23"/>
      <c r="AG214" s="23"/>
      <c r="AH214" s="22"/>
      <c r="AI214" s="22"/>
      <c r="AJ214" s="22"/>
      <c r="AK214" s="22"/>
      <c r="AO214" s="23"/>
      <c r="AP214" s="23"/>
      <c r="AQ214" s="23"/>
      <c r="AS214" s="23"/>
      <c r="AT214" s="23"/>
      <c r="BB214" s="23"/>
      <c r="BI214" s="23"/>
      <c r="BK214" s="23"/>
      <c r="BL214" s="22"/>
      <c r="BM214" s="22"/>
      <c r="BN214" s="22"/>
      <c r="BO214" s="22"/>
    </row>
    <row r="215" spans="9:67" customFormat="1" ht="16.5">
      <c r="I215" s="22"/>
      <c r="R215" s="22"/>
      <c r="X215" s="22"/>
      <c r="Z215" s="23"/>
      <c r="AA215" s="23"/>
      <c r="AB215" s="23"/>
      <c r="AC215" s="23"/>
      <c r="AD215" s="23"/>
      <c r="AE215" s="23"/>
      <c r="AF215" s="23"/>
      <c r="AG215" s="23"/>
      <c r="AH215" s="22"/>
      <c r="AI215" s="22"/>
      <c r="AJ215" s="22"/>
      <c r="AK215" s="22"/>
      <c r="AO215" s="23"/>
      <c r="AP215" s="23"/>
      <c r="AQ215" s="23"/>
      <c r="AS215" s="23"/>
      <c r="AT215" s="23"/>
      <c r="AV215" s="23"/>
      <c r="BI215" s="23"/>
      <c r="BK215" s="23"/>
      <c r="BL215" s="22"/>
      <c r="BM215" s="22"/>
      <c r="BN215" s="22"/>
      <c r="BO215" s="22"/>
    </row>
    <row r="216" spans="9:67" customFormat="1" ht="16.5">
      <c r="I216" s="22"/>
      <c r="R216" s="22"/>
      <c r="X216" s="22"/>
      <c r="Z216" s="23"/>
      <c r="AA216" s="23"/>
      <c r="AB216" s="23"/>
      <c r="AC216" s="23"/>
      <c r="AD216" s="23"/>
      <c r="AE216" s="23"/>
      <c r="AF216" s="23"/>
      <c r="AG216" s="23"/>
      <c r="AH216" s="22"/>
      <c r="AI216" s="22"/>
      <c r="AJ216" s="22"/>
      <c r="AK216" s="22"/>
      <c r="AO216" s="23"/>
      <c r="AP216" s="23"/>
      <c r="AQ216" s="23"/>
      <c r="AS216" s="23"/>
      <c r="AT216" s="23"/>
      <c r="AV216" s="23"/>
      <c r="BI216" s="23"/>
      <c r="BK216" s="23"/>
      <c r="BL216" s="22"/>
      <c r="BM216" s="22"/>
      <c r="BN216" s="22"/>
      <c r="BO216" s="22"/>
    </row>
    <row r="217" spans="9:67" customFormat="1" ht="16.5">
      <c r="I217" s="22"/>
      <c r="R217" s="22"/>
      <c r="X217" s="22"/>
      <c r="Z217" s="23"/>
      <c r="AA217" s="23"/>
      <c r="AB217" s="23"/>
      <c r="AC217" s="23"/>
      <c r="AD217" s="23"/>
      <c r="AE217" s="23"/>
      <c r="AF217" s="23"/>
      <c r="AG217" s="23"/>
      <c r="AH217" s="22"/>
      <c r="AI217" s="22"/>
      <c r="AJ217" s="22"/>
      <c r="AK217" s="22"/>
      <c r="AO217" s="23"/>
      <c r="AP217" s="23"/>
      <c r="AQ217" s="23"/>
      <c r="AS217" s="23"/>
      <c r="AT217" s="23"/>
      <c r="AV217" s="23"/>
      <c r="BI217" s="23"/>
      <c r="BK217" s="23"/>
      <c r="BL217" s="22"/>
      <c r="BM217" s="22"/>
      <c r="BN217" s="22"/>
      <c r="BO217" s="22"/>
    </row>
    <row r="218" spans="9:67" customFormat="1" ht="16.5">
      <c r="I218" s="22"/>
      <c r="R218" s="22"/>
      <c r="X218" s="22"/>
      <c r="Z218" s="23"/>
      <c r="AA218" s="23"/>
      <c r="AB218" s="23"/>
      <c r="AC218" s="23"/>
      <c r="AD218" s="23"/>
      <c r="AE218" s="23"/>
      <c r="AF218" s="23"/>
      <c r="AG218" s="23"/>
      <c r="AH218" s="22"/>
      <c r="AI218" s="22"/>
      <c r="AJ218" s="22"/>
      <c r="AK218" s="22"/>
      <c r="AO218" s="23"/>
      <c r="AP218" s="23"/>
      <c r="AQ218" s="23"/>
      <c r="AS218" s="23"/>
      <c r="AT218" s="23"/>
      <c r="AV218" s="23"/>
      <c r="BI218" s="23"/>
      <c r="BK218" s="23"/>
      <c r="BL218" s="22"/>
      <c r="BM218" s="22"/>
      <c r="BN218" s="22"/>
      <c r="BO218" s="22"/>
    </row>
    <row r="219" spans="9:67" customFormat="1" ht="16.5">
      <c r="I219" s="22"/>
      <c r="R219" s="22"/>
      <c r="X219" s="22"/>
      <c r="Z219" s="23"/>
      <c r="AA219" s="23"/>
      <c r="AB219" s="23"/>
      <c r="AC219" s="23"/>
      <c r="AD219" s="23"/>
      <c r="AE219" s="23"/>
      <c r="AF219" s="23"/>
      <c r="AG219" s="23"/>
      <c r="AH219" s="22"/>
      <c r="AI219" s="22"/>
      <c r="AJ219" s="22"/>
      <c r="AK219" s="22"/>
      <c r="AO219" s="23"/>
      <c r="AP219" s="23"/>
      <c r="AQ219" s="23"/>
      <c r="AS219" s="23"/>
      <c r="AT219" s="23"/>
      <c r="AV219" s="23"/>
      <c r="BB219" s="23"/>
      <c r="BI219" s="23"/>
      <c r="BK219" s="23"/>
      <c r="BL219" s="22"/>
      <c r="BM219" s="22"/>
      <c r="BN219" s="22"/>
      <c r="BO219" s="22"/>
    </row>
    <row r="220" spans="9:67" customFormat="1" ht="16.5">
      <c r="I220" s="22"/>
      <c r="R220" s="22"/>
      <c r="X220" s="22"/>
      <c r="Z220" s="23"/>
      <c r="AA220" s="23"/>
      <c r="AB220" s="23"/>
      <c r="AC220" s="23"/>
      <c r="AD220" s="23"/>
      <c r="AE220" s="23"/>
      <c r="AF220" s="23"/>
      <c r="AG220" s="23"/>
      <c r="AH220" s="22"/>
      <c r="AI220" s="22"/>
      <c r="AJ220" s="22"/>
      <c r="AK220" s="22"/>
      <c r="AO220" s="23"/>
      <c r="AP220" s="23"/>
      <c r="AQ220" s="23"/>
      <c r="AS220" s="23"/>
      <c r="AT220" s="23"/>
      <c r="AV220" s="23"/>
      <c r="BB220" s="23"/>
      <c r="BI220" s="23"/>
      <c r="BK220" s="23"/>
      <c r="BL220" s="22"/>
      <c r="BM220" s="22"/>
      <c r="BN220" s="22"/>
      <c r="BO220" s="22"/>
    </row>
    <row r="221" spans="9:67" customFormat="1" ht="16.5">
      <c r="I221" s="22"/>
      <c r="R221" s="22"/>
      <c r="X221" s="22"/>
      <c r="Z221" s="23"/>
      <c r="AA221" s="23"/>
      <c r="AB221" s="23"/>
      <c r="AC221" s="23"/>
      <c r="AD221" s="23"/>
      <c r="AE221" s="23"/>
      <c r="AF221" s="23"/>
      <c r="AG221" s="23"/>
      <c r="AH221" s="22"/>
      <c r="AI221" s="22"/>
      <c r="AJ221" s="22"/>
      <c r="AK221" s="22"/>
      <c r="AO221" s="23"/>
      <c r="AP221" s="23"/>
      <c r="AQ221" s="23"/>
      <c r="AS221" s="23"/>
      <c r="AT221" s="23"/>
      <c r="AV221" s="23"/>
      <c r="BB221" s="23"/>
      <c r="BI221" s="23"/>
      <c r="BK221" s="23"/>
      <c r="BL221" s="22"/>
      <c r="BM221" s="22"/>
      <c r="BN221" s="22"/>
      <c r="BO221" s="22"/>
    </row>
    <row r="222" spans="9:67" customFormat="1" ht="16.5">
      <c r="I222" s="22"/>
      <c r="R222" s="22"/>
      <c r="X222" s="22"/>
      <c r="Z222" s="23"/>
      <c r="AA222" s="23"/>
      <c r="AB222" s="23"/>
      <c r="AC222" s="23"/>
      <c r="AD222" s="23"/>
      <c r="AE222" s="23"/>
      <c r="AF222" s="23"/>
      <c r="AG222" s="23"/>
      <c r="AH222" s="22"/>
      <c r="AI222" s="22"/>
      <c r="AJ222" s="22"/>
      <c r="AK222" s="22"/>
      <c r="AO222" s="23"/>
      <c r="AP222" s="23"/>
      <c r="AQ222" s="23"/>
      <c r="AS222" s="23"/>
      <c r="AT222" s="23"/>
      <c r="AV222" s="23"/>
      <c r="BB222" s="23"/>
      <c r="BI222" s="23"/>
      <c r="BK222" s="23"/>
      <c r="BL222" s="22"/>
      <c r="BM222" s="22"/>
      <c r="BN222" s="22"/>
      <c r="BO222" s="22"/>
    </row>
    <row r="223" spans="9:67" customFormat="1" ht="16.5">
      <c r="I223" s="22"/>
      <c r="R223" s="22"/>
      <c r="X223" s="22"/>
      <c r="Z223" s="23"/>
      <c r="AA223" s="23"/>
      <c r="AB223" s="23"/>
      <c r="AC223" s="23"/>
      <c r="AD223" s="23"/>
      <c r="AE223" s="23"/>
      <c r="AF223" s="23"/>
      <c r="AG223" s="23"/>
      <c r="AH223" s="22"/>
      <c r="AI223" s="22"/>
      <c r="AJ223" s="22"/>
      <c r="AK223" s="22"/>
      <c r="AO223" s="23"/>
      <c r="AP223" s="23"/>
      <c r="AQ223" s="23"/>
      <c r="AS223" s="23"/>
      <c r="AT223" s="23"/>
      <c r="AV223" s="23"/>
      <c r="BB223" s="23"/>
      <c r="BI223" s="23"/>
      <c r="BK223" s="23"/>
      <c r="BL223" s="22"/>
      <c r="BM223" s="22"/>
      <c r="BN223" s="22"/>
      <c r="BO223" s="22"/>
    </row>
    <row r="224" spans="9:67" customFormat="1" ht="16.5">
      <c r="I224" s="22"/>
      <c r="R224" s="22"/>
      <c r="X224" s="22"/>
      <c r="Z224" s="23"/>
      <c r="AA224" s="23"/>
      <c r="AB224" s="23"/>
      <c r="AC224" s="23"/>
      <c r="AD224" s="23"/>
      <c r="AE224" s="23"/>
      <c r="AF224" s="23"/>
      <c r="AG224" s="23"/>
      <c r="AH224" s="22"/>
      <c r="AI224" s="22"/>
      <c r="AJ224" s="22"/>
      <c r="AK224" s="22"/>
      <c r="AO224" s="23"/>
      <c r="AP224" s="23"/>
      <c r="AQ224" s="23"/>
      <c r="AS224" s="23"/>
      <c r="AT224" s="23"/>
      <c r="AV224" s="23"/>
      <c r="BB224" s="23"/>
      <c r="BI224" s="23"/>
      <c r="BK224" s="23"/>
      <c r="BL224" s="22"/>
      <c r="BM224" s="22"/>
      <c r="BN224" s="22"/>
      <c r="BO224" s="22"/>
    </row>
    <row r="225" spans="9:67" customFormat="1" ht="16.5">
      <c r="I225" s="22"/>
      <c r="R225" s="22"/>
      <c r="X225" s="22"/>
      <c r="Z225" s="23"/>
      <c r="AA225" s="23"/>
      <c r="AB225" s="23"/>
      <c r="AC225" s="23"/>
      <c r="AD225" s="23"/>
      <c r="AE225" s="23"/>
      <c r="AF225" s="23"/>
      <c r="AG225" s="23"/>
      <c r="AH225" s="22"/>
      <c r="AI225" s="22"/>
      <c r="AJ225" s="22"/>
      <c r="AK225" s="22"/>
      <c r="AO225" s="23"/>
      <c r="AP225" s="23"/>
      <c r="AQ225" s="23"/>
      <c r="AS225" s="23"/>
      <c r="AT225" s="23"/>
      <c r="AV225" s="23"/>
      <c r="BB225" s="23"/>
      <c r="BI225" s="23"/>
      <c r="BK225" s="23"/>
      <c r="BL225" s="22"/>
      <c r="BM225" s="22"/>
      <c r="BN225" s="22"/>
      <c r="BO225" s="22"/>
    </row>
    <row r="226" spans="9:67" customFormat="1" ht="16.5">
      <c r="I226" s="22"/>
      <c r="R226" s="22"/>
      <c r="X226" s="22"/>
      <c r="Z226" s="23"/>
      <c r="AA226" s="23"/>
      <c r="AB226" s="23"/>
      <c r="AC226" s="23"/>
      <c r="AD226" s="23"/>
      <c r="AE226" s="23"/>
      <c r="AF226" s="23"/>
      <c r="AG226" s="23"/>
      <c r="AH226" s="22"/>
      <c r="AI226" s="22"/>
      <c r="AJ226" s="22"/>
      <c r="AK226" s="22"/>
      <c r="AO226" s="23"/>
      <c r="AP226" s="23"/>
      <c r="AQ226" s="23"/>
      <c r="AS226" s="23"/>
      <c r="AT226" s="23"/>
      <c r="AV226" s="23"/>
      <c r="BB226" s="23"/>
      <c r="BI226" s="23"/>
      <c r="BK226" s="23"/>
      <c r="BL226" s="22"/>
      <c r="BM226" s="22"/>
      <c r="BN226" s="22"/>
      <c r="BO226" s="22"/>
    </row>
    <row r="227" spans="9:67" customFormat="1" ht="16.5">
      <c r="I227" s="22"/>
      <c r="R227" s="22"/>
      <c r="Z227" s="23"/>
      <c r="AA227" s="23"/>
      <c r="AB227" s="23"/>
      <c r="AC227" s="23"/>
      <c r="AD227" s="23"/>
      <c r="AE227" s="23"/>
      <c r="AF227" s="23"/>
      <c r="AI227" s="22"/>
      <c r="AO227" s="23"/>
      <c r="AP227" s="23"/>
      <c r="AQ227" s="23"/>
      <c r="BI227" s="23"/>
      <c r="BL227" s="22"/>
      <c r="BM227" s="22"/>
      <c r="BN227" s="22"/>
      <c r="BO227" s="22"/>
    </row>
    <row r="228" spans="9:67" customFormat="1" ht="16.5">
      <c r="I228" s="22"/>
      <c r="R228" s="22"/>
      <c r="Z228" s="23"/>
      <c r="AA228" s="23"/>
      <c r="AB228" s="23"/>
      <c r="AC228" s="23"/>
      <c r="AD228" s="23"/>
      <c r="AE228" s="23"/>
      <c r="AF228" s="23"/>
      <c r="AI228" s="22"/>
      <c r="AO228" s="23"/>
      <c r="AP228" s="23"/>
      <c r="AQ228" s="23"/>
      <c r="BI228" s="23"/>
      <c r="BL228" s="22"/>
      <c r="BM228" s="22"/>
      <c r="BN228" s="22"/>
      <c r="BO228" s="22"/>
    </row>
    <row r="229" spans="9:67" customFormat="1" ht="16.5">
      <c r="I229" s="22"/>
      <c r="R229" s="22"/>
      <c r="Z229" s="23"/>
      <c r="AA229" s="23"/>
      <c r="AB229" s="23"/>
      <c r="AC229" s="23"/>
      <c r="AD229" s="23"/>
      <c r="AE229" s="23"/>
      <c r="AF229" s="23"/>
      <c r="AI229" s="22"/>
      <c r="AO229" s="23"/>
      <c r="AP229" s="23"/>
      <c r="AQ229" s="23"/>
      <c r="BI229" s="23"/>
      <c r="BL229" s="22"/>
      <c r="BM229" s="22"/>
      <c r="BN229" s="22"/>
      <c r="BO229" s="22"/>
    </row>
    <row r="230" spans="9:67" customFormat="1" ht="16.5">
      <c r="I230" s="22"/>
      <c r="R230" s="22"/>
      <c r="Z230" s="23"/>
      <c r="AA230" s="23"/>
      <c r="AB230" s="23"/>
      <c r="AC230" s="23"/>
      <c r="AD230" s="23"/>
      <c r="AE230" s="23"/>
      <c r="AF230" s="23"/>
      <c r="AI230" s="22"/>
      <c r="AO230" s="23"/>
      <c r="AP230" s="23"/>
      <c r="AQ230" s="23"/>
      <c r="BI230" s="23"/>
      <c r="BL230" s="22"/>
      <c r="BM230" s="22"/>
      <c r="BN230" s="22"/>
      <c r="BO230" s="22"/>
    </row>
    <row r="231" spans="9:67" customFormat="1" ht="16.5">
      <c r="I231" s="22"/>
      <c r="R231" s="22"/>
      <c r="Z231" s="23"/>
      <c r="AA231" s="23"/>
      <c r="AB231" s="23"/>
      <c r="AC231" s="23"/>
      <c r="AD231" s="23"/>
      <c r="AE231" s="23"/>
      <c r="AF231" s="23"/>
      <c r="AI231" s="22"/>
      <c r="AO231" s="23"/>
      <c r="AP231" s="23"/>
      <c r="AQ231" s="23"/>
      <c r="BI231" s="23"/>
      <c r="BL231" s="22"/>
      <c r="BM231" s="22"/>
      <c r="BN231" s="22"/>
      <c r="BO231" s="22"/>
    </row>
    <row r="232" spans="9:67" customFormat="1" ht="16.5">
      <c r="I232" s="22"/>
      <c r="R232" s="22"/>
      <c r="Z232" s="23"/>
      <c r="AA232" s="23"/>
      <c r="AB232" s="23"/>
      <c r="AC232" s="23"/>
      <c r="AD232" s="23"/>
      <c r="AE232" s="23"/>
      <c r="AF232" s="23"/>
      <c r="AI232" s="22"/>
      <c r="AO232" s="23"/>
      <c r="AP232" s="23"/>
      <c r="AQ232" s="23"/>
      <c r="BI232" s="23"/>
      <c r="BL232" s="22"/>
      <c r="BM232" s="22"/>
      <c r="BN232" s="22"/>
      <c r="BO232" s="22"/>
    </row>
    <row r="233" spans="9:67" customFormat="1" ht="16.5">
      <c r="I233" s="22"/>
      <c r="R233" s="22"/>
      <c r="Z233" s="23"/>
      <c r="AA233" s="23"/>
      <c r="AB233" s="23"/>
      <c r="AC233" s="23"/>
      <c r="AD233" s="23"/>
      <c r="AE233" s="23"/>
      <c r="AF233" s="23"/>
      <c r="AI233" s="22"/>
      <c r="AO233" s="23"/>
      <c r="AP233" s="23"/>
      <c r="AQ233" s="23"/>
      <c r="BI233" s="23"/>
      <c r="BL233" s="22"/>
      <c r="BM233" s="22"/>
      <c r="BN233" s="22"/>
      <c r="BO233" s="22"/>
    </row>
    <row r="234" spans="9:67" customFormat="1" ht="16.5">
      <c r="I234" s="22"/>
      <c r="R234" s="22"/>
      <c r="Z234" s="23"/>
      <c r="AA234" s="23"/>
      <c r="AB234" s="23"/>
      <c r="AC234" s="23"/>
      <c r="AD234" s="23"/>
      <c r="AE234" s="23"/>
      <c r="AF234" s="23"/>
      <c r="AI234" s="22"/>
      <c r="AO234" s="23"/>
      <c r="AP234" s="23"/>
      <c r="AQ234" s="23"/>
      <c r="BI234" s="23"/>
      <c r="BL234" s="22"/>
      <c r="BM234" s="22"/>
      <c r="BN234" s="22"/>
      <c r="BO234" s="22"/>
    </row>
    <row r="235" spans="9:67" customFormat="1" ht="16.5">
      <c r="I235" s="22"/>
      <c r="R235" s="22"/>
      <c r="Z235" s="23"/>
      <c r="AA235" s="23"/>
      <c r="AB235" s="23"/>
      <c r="AC235" s="23"/>
      <c r="AD235" s="23"/>
      <c r="AE235" s="23"/>
      <c r="AF235" s="23"/>
      <c r="AI235" s="22"/>
      <c r="AO235" s="23"/>
      <c r="AP235" s="23"/>
      <c r="AQ235" s="23"/>
      <c r="BI235" s="23"/>
      <c r="BL235" s="22"/>
      <c r="BM235" s="22"/>
      <c r="BN235" s="22"/>
      <c r="BO235" s="22"/>
    </row>
    <row r="236" spans="9:67" customFormat="1" ht="16.5">
      <c r="I236" s="22"/>
      <c r="R236" s="22"/>
      <c r="Z236" s="23"/>
      <c r="AA236" s="23"/>
      <c r="AB236" s="23"/>
      <c r="AC236" s="23"/>
      <c r="AD236" s="23"/>
      <c r="AE236" s="23"/>
      <c r="AF236" s="23"/>
      <c r="AI236" s="22"/>
      <c r="AO236" s="23"/>
      <c r="AP236" s="23"/>
      <c r="AQ236" s="23"/>
      <c r="BI236" s="23"/>
      <c r="BL236" s="22"/>
      <c r="BM236" s="22"/>
      <c r="BN236" s="22"/>
      <c r="BO236" s="22"/>
    </row>
    <row r="237" spans="9:67" customFormat="1" ht="16.5">
      <c r="I237" s="22"/>
      <c r="R237" s="22"/>
      <c r="Z237" s="23"/>
      <c r="AA237" s="23"/>
      <c r="AB237" s="23"/>
      <c r="AC237" s="23"/>
      <c r="AD237" s="23"/>
      <c r="AE237" s="23"/>
      <c r="AF237" s="23"/>
      <c r="AI237" s="22"/>
      <c r="AO237" s="23"/>
      <c r="AP237" s="23"/>
      <c r="AQ237" s="23"/>
      <c r="BI237" s="23"/>
      <c r="BL237" s="22"/>
      <c r="BM237" s="22"/>
      <c r="BN237" s="22"/>
      <c r="BO237" s="22"/>
    </row>
    <row r="238" spans="9:67" customFormat="1" ht="16.5">
      <c r="I238" s="22"/>
      <c r="R238" s="22"/>
      <c r="Z238" s="23"/>
      <c r="AA238" s="23"/>
      <c r="AB238" s="23"/>
      <c r="AC238" s="23"/>
      <c r="AD238" s="23"/>
      <c r="AE238" s="23"/>
      <c r="AF238" s="23"/>
      <c r="AI238" s="22"/>
      <c r="AO238" s="23"/>
      <c r="AP238" s="23"/>
      <c r="AQ238" s="23"/>
      <c r="BI238" s="23"/>
      <c r="BL238" s="22"/>
      <c r="BM238" s="22"/>
      <c r="BN238" s="22"/>
      <c r="BO238" s="22"/>
    </row>
    <row r="239" spans="9:67" customFormat="1" ht="16.5">
      <c r="I239" s="22"/>
      <c r="R239" s="22"/>
      <c r="Z239" s="23"/>
      <c r="AA239" s="23"/>
      <c r="AB239" s="23"/>
      <c r="AC239" s="23"/>
      <c r="AD239" s="23"/>
      <c r="AE239" s="23"/>
      <c r="AF239" s="23"/>
      <c r="AI239" s="22"/>
      <c r="AO239" s="23"/>
      <c r="AP239" s="23"/>
      <c r="AQ239" s="23"/>
      <c r="BI239" s="23"/>
      <c r="BL239" s="22"/>
      <c r="BM239" s="22"/>
      <c r="BN239" s="22"/>
      <c r="BO239" s="22"/>
    </row>
    <row r="240" spans="9:67" customFormat="1" ht="16.5">
      <c r="I240" s="22"/>
      <c r="R240" s="22"/>
      <c r="Z240" s="23"/>
      <c r="AA240" s="23"/>
      <c r="AB240" s="23"/>
      <c r="AC240" s="23"/>
      <c r="AD240" s="23"/>
      <c r="AE240" s="23"/>
      <c r="AF240" s="23"/>
      <c r="AI240" s="22"/>
      <c r="AO240" s="23"/>
      <c r="AP240" s="23"/>
      <c r="AQ240" s="23"/>
      <c r="BI240" s="23"/>
      <c r="BL240" s="22"/>
      <c r="BM240" s="22"/>
      <c r="BN240" s="22"/>
      <c r="BO240" s="22"/>
    </row>
    <row r="241" spans="9:67" customFormat="1" ht="16.5">
      <c r="I241" s="22"/>
      <c r="R241" s="22"/>
      <c r="Z241" s="23"/>
      <c r="AA241" s="23"/>
      <c r="AB241" s="23"/>
      <c r="AC241" s="23"/>
      <c r="AD241" s="23"/>
      <c r="AE241" s="23"/>
      <c r="AF241" s="23"/>
      <c r="AI241" s="22"/>
      <c r="AO241" s="23"/>
      <c r="AP241" s="23"/>
      <c r="AQ241" s="23"/>
      <c r="BI241" s="23"/>
      <c r="BL241" s="22"/>
      <c r="BM241" s="22"/>
      <c r="BN241" s="22"/>
      <c r="BO241" s="22"/>
    </row>
    <row r="242" spans="9:67" customFormat="1" ht="16.5">
      <c r="I242" s="22"/>
      <c r="R242" s="22"/>
      <c r="Z242" s="23"/>
      <c r="AA242" s="23"/>
      <c r="AB242" s="23"/>
      <c r="AC242" s="23"/>
      <c r="AD242" s="23"/>
      <c r="AE242" s="23"/>
      <c r="AF242" s="23"/>
      <c r="AI242" s="22"/>
      <c r="AO242" s="23"/>
      <c r="AP242" s="23"/>
      <c r="AQ242" s="23"/>
      <c r="BI242" s="23"/>
      <c r="BL242" s="22"/>
      <c r="BM242" s="22"/>
      <c r="BN242" s="22"/>
      <c r="BO242" s="22"/>
    </row>
    <row r="243" spans="9:67" customFormat="1" ht="16.5">
      <c r="I243" s="22"/>
      <c r="R243" s="22"/>
      <c r="Z243" s="23"/>
      <c r="AA243" s="23"/>
      <c r="AB243" s="23"/>
      <c r="AC243" s="23"/>
      <c r="AD243" s="23"/>
      <c r="AE243" s="23"/>
      <c r="AF243" s="23"/>
      <c r="AI243" s="22"/>
      <c r="AO243" s="23"/>
      <c r="AP243" s="23"/>
      <c r="AQ243" s="23"/>
      <c r="BI243" s="23"/>
      <c r="BL243" s="22"/>
      <c r="BM243" s="22"/>
      <c r="BN243" s="22"/>
      <c r="BO243" s="22"/>
    </row>
    <row r="244" spans="9:67" customFormat="1" ht="16.5">
      <c r="I244" s="22"/>
      <c r="R244" s="22"/>
      <c r="Z244" s="23"/>
      <c r="AA244" s="23"/>
      <c r="AB244" s="23"/>
      <c r="AC244" s="23"/>
      <c r="AD244" s="23"/>
      <c r="AE244" s="23"/>
      <c r="AF244" s="23"/>
      <c r="AI244" s="22"/>
      <c r="AO244" s="23"/>
      <c r="AP244" s="23"/>
      <c r="AQ244" s="23"/>
      <c r="BI244" s="23"/>
      <c r="BL244" s="22"/>
      <c r="BM244" s="22"/>
      <c r="BN244" s="22"/>
      <c r="BO244" s="22"/>
    </row>
    <row r="245" spans="9:67" customFormat="1" ht="16.5">
      <c r="I245" s="22"/>
      <c r="R245" s="22"/>
      <c r="Z245" s="23"/>
      <c r="AA245" s="23"/>
      <c r="AB245" s="23"/>
      <c r="AC245" s="23"/>
      <c r="AD245" s="23"/>
      <c r="AE245" s="23"/>
      <c r="AF245" s="23"/>
      <c r="AI245" s="22"/>
      <c r="AO245" s="23"/>
      <c r="AP245" s="23"/>
      <c r="AQ245" s="23"/>
      <c r="BI245" s="23"/>
      <c r="BL245" s="22"/>
      <c r="BM245" s="22"/>
      <c r="BN245" s="22"/>
      <c r="BO245" s="22"/>
    </row>
    <row r="246" spans="9:67" customFormat="1" ht="16.5">
      <c r="I246" s="22"/>
      <c r="R246" s="22"/>
      <c r="Z246" s="23"/>
      <c r="AA246" s="23"/>
      <c r="AB246" s="23"/>
      <c r="AC246" s="23"/>
      <c r="AD246" s="23"/>
      <c r="AE246" s="23"/>
      <c r="AF246" s="23"/>
      <c r="AI246" s="22"/>
      <c r="AO246" s="23"/>
      <c r="AP246" s="23"/>
      <c r="AQ246" s="23"/>
      <c r="BI246" s="23"/>
      <c r="BL246" s="22"/>
      <c r="BM246" s="22"/>
      <c r="BN246" s="22"/>
      <c r="BO246" s="22"/>
    </row>
    <row r="247" spans="9:67" customFormat="1" ht="16.5">
      <c r="I247" s="22"/>
      <c r="R247" s="22"/>
      <c r="Z247" s="23"/>
      <c r="AA247" s="23"/>
      <c r="AB247" s="23"/>
      <c r="AC247" s="23"/>
      <c r="AD247" s="23"/>
      <c r="AE247" s="23"/>
      <c r="AF247" s="23"/>
      <c r="AI247" s="22"/>
      <c r="AO247" s="23"/>
      <c r="AP247" s="23"/>
      <c r="AQ247" s="23"/>
      <c r="BI247" s="23"/>
      <c r="BL247" s="22"/>
      <c r="BM247" s="22"/>
      <c r="BN247" s="22"/>
      <c r="BO247" s="22"/>
    </row>
    <row r="248" spans="9:67" customFormat="1" ht="16.5">
      <c r="I248" s="22"/>
      <c r="R248" s="22"/>
      <c r="Z248" s="23"/>
      <c r="AA248" s="23"/>
      <c r="AB248" s="23"/>
      <c r="AC248" s="23"/>
      <c r="AD248" s="23"/>
      <c r="AE248" s="23"/>
      <c r="AF248" s="23"/>
      <c r="AI248" s="22"/>
      <c r="AO248" s="23"/>
      <c r="AP248" s="23"/>
      <c r="AQ248" s="23"/>
      <c r="BI248" s="23"/>
      <c r="BL248" s="22"/>
      <c r="BM248" s="22"/>
      <c r="BN248" s="22"/>
      <c r="BO248" s="22"/>
    </row>
    <row r="249" spans="9:67" customFormat="1" ht="16.5">
      <c r="I249" s="22"/>
      <c r="R249" s="22"/>
      <c r="Z249" s="23"/>
      <c r="AA249" s="23"/>
      <c r="AB249" s="23"/>
      <c r="AC249" s="23"/>
      <c r="AD249" s="23"/>
      <c r="AE249" s="23"/>
      <c r="AF249" s="23"/>
      <c r="AI249" s="22"/>
      <c r="AO249" s="23"/>
      <c r="AP249" s="23"/>
      <c r="AQ249" s="23"/>
      <c r="BI249" s="23"/>
      <c r="BL249" s="22"/>
      <c r="BM249" s="22"/>
      <c r="BN249" s="22"/>
      <c r="BO249" s="22"/>
    </row>
    <row r="250" spans="9:67" customFormat="1" ht="16.5">
      <c r="I250" s="22"/>
      <c r="R250" s="22"/>
      <c r="Z250" s="23"/>
      <c r="AA250" s="23"/>
      <c r="AB250" s="23"/>
      <c r="AC250" s="23"/>
      <c r="AD250" s="23"/>
      <c r="AE250" s="23"/>
      <c r="AF250" s="23"/>
      <c r="AI250" s="22"/>
      <c r="AO250" s="23"/>
      <c r="AP250" s="23"/>
      <c r="AQ250" s="23"/>
      <c r="BI250" s="23"/>
      <c r="BL250" s="22"/>
      <c r="BM250" s="22"/>
      <c r="BN250" s="22"/>
      <c r="BO250" s="22"/>
    </row>
    <row r="251" spans="9:67" customFormat="1" ht="16.5">
      <c r="I251" s="22"/>
      <c r="R251" s="22"/>
      <c r="Z251" s="23"/>
      <c r="AA251" s="23"/>
      <c r="AB251" s="23"/>
      <c r="AC251" s="23"/>
      <c r="AD251" s="23"/>
      <c r="AE251" s="23"/>
      <c r="AF251" s="23"/>
      <c r="AI251" s="22"/>
      <c r="AO251" s="23"/>
      <c r="AP251" s="23"/>
      <c r="AQ251" s="23"/>
      <c r="BI251" s="23"/>
      <c r="BL251" s="22"/>
      <c r="BM251" s="22"/>
      <c r="BN251" s="22"/>
      <c r="BO251" s="22"/>
    </row>
    <row r="252" spans="9:67" customFormat="1" ht="16.5">
      <c r="I252" s="22"/>
      <c r="R252" s="22"/>
      <c r="Z252" s="23"/>
      <c r="AA252" s="23"/>
      <c r="AB252" s="23"/>
      <c r="AC252" s="23"/>
      <c r="AD252" s="23"/>
      <c r="AE252" s="23"/>
      <c r="AF252" s="23"/>
      <c r="AI252" s="22"/>
      <c r="AO252" s="23"/>
      <c r="AP252" s="23"/>
      <c r="AQ252" s="23"/>
      <c r="BI252" s="23"/>
      <c r="BL252" s="22"/>
      <c r="BM252" s="22"/>
      <c r="BN252" s="22"/>
      <c r="BO252" s="22"/>
    </row>
    <row r="253" spans="9:67" customFormat="1" ht="16.5">
      <c r="I253" s="22"/>
      <c r="R253" s="22"/>
      <c r="Z253" s="23"/>
      <c r="AA253" s="23"/>
      <c r="AB253" s="23"/>
      <c r="AC253" s="23"/>
      <c r="AD253" s="23"/>
      <c r="AE253" s="23"/>
      <c r="AF253" s="23"/>
      <c r="AI253" s="22"/>
      <c r="AO253" s="23"/>
      <c r="AP253" s="23"/>
      <c r="AQ253" s="23"/>
      <c r="BI253" s="23"/>
      <c r="BL253" s="22"/>
      <c r="BM253" s="22"/>
      <c r="BN253" s="22"/>
      <c r="BO253" s="22"/>
    </row>
    <row r="254" spans="9:67" customFormat="1" ht="16.5">
      <c r="I254" s="22"/>
      <c r="R254" s="22"/>
      <c r="Z254" s="23"/>
      <c r="AA254" s="23"/>
      <c r="AB254" s="23"/>
      <c r="AC254" s="23"/>
      <c r="AD254" s="23"/>
      <c r="AE254" s="23"/>
      <c r="AF254" s="23"/>
      <c r="AI254" s="22"/>
      <c r="AO254" s="23"/>
      <c r="AP254" s="23"/>
      <c r="AQ254" s="23"/>
      <c r="BI254" s="23"/>
      <c r="BL254" s="22"/>
      <c r="BM254" s="22"/>
      <c r="BN254" s="22"/>
      <c r="BO254" s="22"/>
    </row>
    <row r="255" spans="9:67" customFormat="1" ht="16.5">
      <c r="I255" s="22"/>
      <c r="R255" s="22"/>
      <c r="Z255" s="23"/>
      <c r="AA255" s="23"/>
      <c r="AB255" s="23"/>
      <c r="AC255" s="23"/>
      <c r="AD255" s="23"/>
      <c r="AE255" s="23"/>
      <c r="AF255" s="23"/>
      <c r="AI255" s="22"/>
      <c r="AO255" s="23"/>
      <c r="AP255" s="23"/>
      <c r="AQ255" s="23"/>
      <c r="BI255" s="23"/>
      <c r="BL255" s="22"/>
      <c r="BM255" s="22"/>
      <c r="BN255" s="22"/>
      <c r="BO255" s="22"/>
    </row>
    <row r="256" spans="9:67" customFormat="1" ht="16.5">
      <c r="I256" s="22"/>
      <c r="R256" s="22"/>
      <c r="Z256" s="23"/>
      <c r="AA256" s="23"/>
      <c r="AB256" s="23"/>
      <c r="AC256" s="23"/>
      <c r="AD256" s="23"/>
      <c r="AE256" s="23"/>
      <c r="AF256" s="23"/>
      <c r="AI256" s="22"/>
      <c r="AO256" s="23"/>
      <c r="AP256" s="23"/>
      <c r="AQ256" s="23"/>
      <c r="BI256" s="23"/>
      <c r="BL256" s="22"/>
      <c r="BM256" s="22"/>
      <c r="BN256" s="22"/>
      <c r="BO256" s="22"/>
    </row>
    <row r="257" spans="9:67" customFormat="1" ht="16.5">
      <c r="I257" s="22"/>
      <c r="R257" s="22"/>
      <c r="Z257" s="23"/>
      <c r="AA257" s="23"/>
      <c r="AB257" s="23"/>
      <c r="AC257" s="23"/>
      <c r="AD257" s="23"/>
      <c r="AE257" s="23"/>
      <c r="AF257" s="23"/>
      <c r="AI257" s="22"/>
      <c r="AO257" s="23"/>
      <c r="AP257" s="23"/>
      <c r="AQ257" s="23"/>
      <c r="BI257" s="23"/>
      <c r="BL257" s="22"/>
      <c r="BM257" s="22"/>
      <c r="BN257" s="22"/>
      <c r="BO257" s="22"/>
    </row>
    <row r="258" spans="9:67" customFormat="1" ht="16.5">
      <c r="I258" s="22"/>
      <c r="R258" s="22"/>
      <c r="Z258" s="23"/>
      <c r="AA258" s="23"/>
      <c r="AB258" s="23"/>
      <c r="AC258" s="23"/>
      <c r="AD258" s="23"/>
      <c r="AE258" s="23"/>
      <c r="AF258" s="23"/>
      <c r="AI258" s="22"/>
      <c r="AO258" s="23"/>
      <c r="AP258" s="23"/>
      <c r="AQ258" s="23"/>
      <c r="BI258" s="23"/>
      <c r="BL258" s="22"/>
      <c r="BM258" s="22"/>
      <c r="BN258" s="22"/>
      <c r="BO258" s="22"/>
    </row>
    <row r="259" spans="9:67" customFormat="1" ht="16.5">
      <c r="I259" s="22"/>
      <c r="R259" s="22"/>
      <c r="Z259" s="23"/>
      <c r="AA259" s="23"/>
      <c r="AB259" s="23"/>
      <c r="AC259" s="23"/>
      <c r="AD259" s="23"/>
      <c r="AE259" s="23"/>
      <c r="AF259" s="23"/>
      <c r="AI259" s="22"/>
      <c r="AO259" s="23"/>
      <c r="AP259" s="23"/>
      <c r="AQ259" s="23"/>
      <c r="BI259" s="23"/>
      <c r="BL259" s="22"/>
      <c r="BM259" s="22"/>
      <c r="BN259" s="22"/>
      <c r="BO259" s="22"/>
    </row>
    <row r="260" spans="9:67" customFormat="1" ht="16.5">
      <c r="I260" s="22"/>
      <c r="R260" s="22"/>
      <c r="Z260" s="23"/>
      <c r="AA260" s="23"/>
      <c r="AB260" s="23"/>
      <c r="AC260" s="23"/>
      <c r="AD260" s="23"/>
      <c r="AE260" s="23"/>
      <c r="AF260" s="23"/>
      <c r="AI260" s="22"/>
      <c r="AO260" s="23"/>
      <c r="AP260" s="23"/>
      <c r="AQ260" s="23"/>
      <c r="BI260" s="23"/>
      <c r="BL260" s="22"/>
      <c r="BM260" s="22"/>
      <c r="BN260" s="22"/>
      <c r="BO260" s="22"/>
    </row>
    <row r="261" spans="9:67" customFormat="1" ht="16.5">
      <c r="I261" s="22"/>
      <c r="R261" s="22"/>
      <c r="Z261" s="23"/>
      <c r="AA261" s="23"/>
      <c r="AB261" s="23"/>
      <c r="AC261" s="23"/>
      <c r="AD261" s="23"/>
      <c r="AE261" s="23"/>
      <c r="AF261" s="23"/>
      <c r="AI261" s="22"/>
      <c r="AO261" s="23"/>
      <c r="AP261" s="23"/>
      <c r="AQ261" s="23"/>
      <c r="BI261" s="23"/>
      <c r="BL261" s="22"/>
      <c r="BM261" s="22"/>
      <c r="BN261" s="22"/>
      <c r="BO261" s="22"/>
    </row>
    <row r="262" spans="9:67" customFormat="1" ht="16.5">
      <c r="I262" s="22"/>
      <c r="R262" s="22"/>
      <c r="Z262" s="23"/>
      <c r="AA262" s="23"/>
      <c r="AB262" s="23"/>
      <c r="AC262" s="23"/>
      <c r="AD262" s="23"/>
      <c r="AE262" s="23"/>
      <c r="AF262" s="23"/>
      <c r="AI262" s="22"/>
      <c r="AO262" s="23"/>
      <c r="AP262" s="23"/>
      <c r="AQ262" s="23"/>
      <c r="BI262" s="23"/>
      <c r="BL262" s="22"/>
      <c r="BM262" s="22"/>
      <c r="BN262" s="22"/>
      <c r="BO262" s="22"/>
    </row>
    <row r="263" spans="9:67" customFormat="1" ht="16.5">
      <c r="I263" s="22"/>
      <c r="R263" s="22"/>
      <c r="Z263" s="23"/>
      <c r="AA263" s="23"/>
      <c r="AB263" s="23"/>
      <c r="AC263" s="23"/>
      <c r="AD263" s="23"/>
      <c r="AE263" s="23"/>
      <c r="AF263" s="23"/>
      <c r="AI263" s="22"/>
      <c r="AO263" s="23"/>
      <c r="AP263" s="23"/>
      <c r="AQ263" s="23"/>
      <c r="BI263" s="23"/>
      <c r="BL263" s="22"/>
      <c r="BM263" s="22"/>
      <c r="BN263" s="22"/>
      <c r="BO263" s="22"/>
    </row>
    <row r="264" spans="9:67" customFormat="1" ht="16.5">
      <c r="I264" s="22"/>
      <c r="R264" s="22"/>
      <c r="Z264" s="23"/>
      <c r="AA264" s="23"/>
      <c r="AB264" s="23"/>
      <c r="AC264" s="23"/>
      <c r="AD264" s="23"/>
      <c r="AE264" s="23"/>
      <c r="AF264" s="23"/>
      <c r="AI264" s="22"/>
      <c r="AO264" s="23"/>
      <c r="AP264" s="23"/>
      <c r="AQ264" s="23"/>
      <c r="BI264" s="23"/>
      <c r="BL264" s="22"/>
      <c r="BM264" s="22"/>
      <c r="BN264" s="22"/>
      <c r="BO264" s="22"/>
    </row>
    <row r="265" spans="9:67" customFormat="1" ht="16.5">
      <c r="I265" s="22"/>
      <c r="R265" s="22"/>
      <c r="Z265" s="23"/>
      <c r="AA265" s="23"/>
      <c r="AB265" s="23"/>
      <c r="AC265" s="23"/>
      <c r="AD265" s="23"/>
      <c r="AE265" s="23"/>
      <c r="AF265" s="23"/>
      <c r="AI265" s="22"/>
      <c r="AO265" s="23"/>
      <c r="AP265" s="23"/>
      <c r="AQ265" s="23"/>
      <c r="BI265" s="23"/>
      <c r="BL265" s="22"/>
      <c r="BM265" s="22"/>
      <c r="BN265" s="22"/>
      <c r="BO265" s="22"/>
    </row>
    <row r="266" spans="9:67" customFormat="1" ht="16.5">
      <c r="I266" s="22"/>
      <c r="R266" s="22"/>
      <c r="Z266" s="23"/>
      <c r="AA266" s="23"/>
      <c r="AB266" s="23"/>
      <c r="AC266" s="23"/>
      <c r="AD266" s="23"/>
      <c r="AE266" s="23"/>
      <c r="AF266" s="23"/>
      <c r="AI266" s="22"/>
      <c r="AO266" s="23"/>
      <c r="AP266" s="23"/>
      <c r="AQ266" s="23"/>
      <c r="BI266" s="23"/>
      <c r="BL266" s="22"/>
      <c r="BM266" s="22"/>
      <c r="BN266" s="22"/>
      <c r="BO266" s="22"/>
    </row>
    <row r="267" spans="9:67" customFormat="1" ht="16.5">
      <c r="I267" s="22"/>
      <c r="R267" s="22"/>
      <c r="Z267" s="23"/>
      <c r="AA267" s="23"/>
      <c r="AB267" s="23"/>
      <c r="AC267" s="23"/>
      <c r="AD267" s="23"/>
      <c r="AE267" s="23"/>
      <c r="AF267" s="23"/>
      <c r="AI267" s="22"/>
      <c r="AO267" s="23"/>
      <c r="AP267" s="23"/>
      <c r="AQ267" s="23"/>
      <c r="BI267" s="23"/>
      <c r="BL267" s="22"/>
      <c r="BM267" s="22"/>
      <c r="BN267" s="22"/>
      <c r="BO267" s="22"/>
    </row>
    <row r="268" spans="9:67" customFormat="1" ht="16.5">
      <c r="I268" s="22"/>
      <c r="R268" s="22"/>
      <c r="Z268" s="23"/>
      <c r="AA268" s="23"/>
      <c r="AB268" s="23"/>
      <c r="AC268" s="23"/>
      <c r="AD268" s="23"/>
      <c r="AE268" s="23"/>
      <c r="AF268" s="23"/>
      <c r="AI268" s="22"/>
      <c r="AO268" s="23"/>
      <c r="AP268" s="23"/>
      <c r="AQ268" s="23"/>
      <c r="BI268" s="23"/>
      <c r="BL268" s="22"/>
      <c r="BM268" s="22"/>
      <c r="BN268" s="22"/>
      <c r="BO268" s="22"/>
    </row>
    <row r="269" spans="9:67" customFormat="1" ht="16.5">
      <c r="I269" s="22"/>
      <c r="R269" s="22"/>
      <c r="Z269" s="23"/>
      <c r="AA269" s="23"/>
      <c r="AB269" s="23"/>
      <c r="AC269" s="23"/>
      <c r="AD269" s="23"/>
      <c r="AE269" s="23"/>
      <c r="AF269" s="23"/>
      <c r="AI269" s="22"/>
      <c r="AO269" s="23"/>
      <c r="AP269" s="23"/>
      <c r="AQ269" s="23"/>
      <c r="BI269" s="23"/>
      <c r="BL269" s="22"/>
      <c r="BM269" s="22"/>
      <c r="BN269" s="22"/>
      <c r="BO269" s="22"/>
    </row>
    <row r="270" spans="9:67" customFormat="1" ht="16.5">
      <c r="I270" s="22"/>
      <c r="R270" s="22"/>
      <c r="Z270" s="23"/>
      <c r="AA270" s="23"/>
      <c r="AB270" s="23"/>
      <c r="AC270" s="23"/>
      <c r="AD270" s="23"/>
      <c r="AE270" s="23"/>
      <c r="AF270" s="23"/>
      <c r="AI270" s="22"/>
      <c r="AO270" s="23"/>
      <c r="AP270" s="23"/>
      <c r="AQ270" s="23"/>
      <c r="BI270" s="23"/>
      <c r="BL270" s="22"/>
      <c r="BM270" s="22"/>
      <c r="BN270" s="22"/>
      <c r="BO270" s="22"/>
    </row>
    <row r="271" spans="9:67" customFormat="1" ht="16.5">
      <c r="I271" s="22"/>
      <c r="R271" s="22"/>
      <c r="Z271" s="23"/>
      <c r="AA271" s="23"/>
      <c r="AB271" s="23"/>
      <c r="AC271" s="23"/>
      <c r="AD271" s="23"/>
      <c r="AE271" s="23"/>
      <c r="AF271" s="23"/>
      <c r="AI271" s="22"/>
      <c r="AO271" s="23"/>
      <c r="AP271" s="23"/>
      <c r="AQ271" s="23"/>
      <c r="BI271" s="23"/>
      <c r="BL271" s="22"/>
      <c r="BM271" s="22"/>
      <c r="BN271" s="22"/>
      <c r="BO271" s="22"/>
    </row>
    <row r="272" spans="9:67" customFormat="1" ht="16.5">
      <c r="I272" s="22"/>
      <c r="R272" s="22"/>
      <c r="Z272" s="23"/>
      <c r="AA272" s="23"/>
      <c r="AB272" s="23"/>
      <c r="AC272" s="23"/>
      <c r="AD272" s="23"/>
      <c r="AE272" s="23"/>
      <c r="AF272" s="23"/>
      <c r="AI272" s="22"/>
      <c r="AO272" s="23"/>
      <c r="AP272" s="23"/>
      <c r="AQ272" s="23"/>
      <c r="BI272" s="23"/>
      <c r="BL272" s="22"/>
      <c r="BM272" s="22"/>
      <c r="BN272" s="22"/>
      <c r="BO272" s="22"/>
    </row>
    <row r="273" spans="9:67" customFormat="1" ht="16.5">
      <c r="I273" s="22"/>
      <c r="R273" s="22"/>
      <c r="Z273" s="23"/>
      <c r="AA273" s="23"/>
      <c r="AB273" s="23"/>
      <c r="AC273" s="23"/>
      <c r="AD273" s="23"/>
      <c r="AE273" s="23"/>
      <c r="AF273" s="23"/>
      <c r="AI273" s="22"/>
      <c r="AO273" s="23"/>
      <c r="AP273" s="23"/>
      <c r="AQ273" s="23"/>
      <c r="BI273" s="23"/>
      <c r="BL273" s="22"/>
      <c r="BM273" s="22"/>
      <c r="BN273" s="22"/>
      <c r="BO273" s="22"/>
    </row>
    <row r="274" spans="9:67" customFormat="1" ht="16.5">
      <c r="I274" s="22"/>
      <c r="R274" s="22"/>
      <c r="Z274" s="23"/>
      <c r="AA274" s="23"/>
      <c r="AB274" s="23"/>
      <c r="AC274" s="23"/>
      <c r="AD274" s="23"/>
      <c r="AE274" s="23"/>
      <c r="AF274" s="23"/>
      <c r="AI274" s="22"/>
      <c r="AO274" s="23"/>
      <c r="AP274" s="23"/>
      <c r="AQ274" s="23"/>
      <c r="BI274" s="23"/>
      <c r="BL274" s="22"/>
      <c r="BM274" s="22"/>
      <c r="BN274" s="22"/>
      <c r="BO274" s="22"/>
    </row>
    <row r="275" spans="9:67" customFormat="1" ht="16.5">
      <c r="I275" s="22"/>
      <c r="R275" s="22"/>
      <c r="Z275" s="23"/>
      <c r="AA275" s="23"/>
      <c r="AB275" s="23"/>
      <c r="AC275" s="23"/>
      <c r="AD275" s="23"/>
      <c r="AE275" s="23"/>
      <c r="AF275" s="23"/>
      <c r="AI275" s="22"/>
      <c r="AO275" s="23"/>
      <c r="AP275" s="23"/>
      <c r="AQ275" s="23"/>
      <c r="BI275" s="23"/>
      <c r="BL275" s="22"/>
      <c r="BM275" s="22"/>
      <c r="BN275" s="22"/>
      <c r="BO275" s="22"/>
    </row>
    <row r="276" spans="9:67" customFormat="1" ht="16.5">
      <c r="I276" s="22"/>
      <c r="R276" s="22"/>
      <c r="Z276" s="23"/>
      <c r="AA276" s="23"/>
      <c r="AB276" s="23"/>
      <c r="AC276" s="23"/>
      <c r="AD276" s="23"/>
      <c r="AE276" s="23"/>
      <c r="AF276" s="23"/>
      <c r="AI276" s="22"/>
      <c r="AO276" s="23"/>
      <c r="AP276" s="23"/>
      <c r="AQ276" s="23"/>
      <c r="BI276" s="23"/>
      <c r="BL276" s="22"/>
      <c r="BM276" s="22"/>
      <c r="BN276" s="22"/>
      <c r="BO276" s="22"/>
    </row>
    <row r="277" spans="9:67" customFormat="1" ht="16.5">
      <c r="I277" s="22"/>
      <c r="R277" s="22"/>
      <c r="Z277" s="23"/>
      <c r="AA277" s="23"/>
      <c r="AB277" s="23"/>
      <c r="AC277" s="23"/>
      <c r="AD277" s="23"/>
      <c r="AE277" s="23"/>
      <c r="AF277" s="23"/>
      <c r="AI277" s="22"/>
      <c r="AO277" s="23"/>
      <c r="AP277" s="23"/>
      <c r="AQ277" s="23"/>
      <c r="BI277" s="23"/>
      <c r="BL277" s="22"/>
      <c r="BM277" s="22"/>
      <c r="BN277" s="22"/>
      <c r="BO277" s="22"/>
    </row>
    <row r="278" spans="9:67" customFormat="1" ht="16.5">
      <c r="I278" s="22"/>
      <c r="R278" s="22"/>
      <c r="Z278" s="23"/>
      <c r="AA278" s="23"/>
      <c r="AB278" s="23"/>
      <c r="AC278" s="23"/>
      <c r="AD278" s="23"/>
      <c r="AE278" s="23"/>
      <c r="AF278" s="23"/>
      <c r="AI278" s="22"/>
      <c r="AO278" s="23"/>
      <c r="AP278" s="23"/>
      <c r="AQ278" s="23"/>
      <c r="BI278" s="23"/>
      <c r="BL278" s="22"/>
      <c r="BM278" s="22"/>
      <c r="BN278" s="22"/>
      <c r="BO278" s="22"/>
    </row>
    <row r="279" spans="9:67" customFormat="1" ht="16.5">
      <c r="I279" s="22"/>
      <c r="R279" s="22"/>
      <c r="Z279" s="23"/>
      <c r="AA279" s="23"/>
      <c r="AB279" s="23"/>
      <c r="AC279" s="23"/>
      <c r="AD279" s="23"/>
      <c r="AE279" s="23"/>
      <c r="AF279" s="23"/>
      <c r="AI279" s="22"/>
      <c r="AO279" s="23"/>
      <c r="AP279" s="23"/>
      <c r="AQ279" s="23"/>
      <c r="BI279" s="23"/>
      <c r="BL279" s="22"/>
      <c r="BM279" s="22"/>
      <c r="BN279" s="22"/>
      <c r="BO279" s="22"/>
    </row>
    <row r="280" spans="9:67" customFormat="1" ht="16.5">
      <c r="I280" s="22"/>
      <c r="R280" s="22"/>
      <c r="Z280" s="23"/>
      <c r="AA280" s="23"/>
      <c r="AB280" s="23"/>
      <c r="AC280" s="23"/>
      <c r="AD280" s="23"/>
      <c r="AE280" s="23"/>
      <c r="AF280" s="23"/>
      <c r="AI280" s="22"/>
      <c r="AO280" s="23"/>
      <c r="AP280" s="23"/>
      <c r="AQ280" s="23"/>
      <c r="BI280" s="23"/>
      <c r="BL280" s="22"/>
      <c r="BM280" s="22"/>
      <c r="BN280" s="22"/>
      <c r="BO280" s="22"/>
    </row>
    <row r="281" spans="9:67" customFormat="1" ht="16.5">
      <c r="I281" s="22"/>
      <c r="R281" s="22"/>
      <c r="Z281" s="23"/>
      <c r="AA281" s="23"/>
      <c r="AB281" s="23"/>
      <c r="AC281" s="23"/>
      <c r="AD281" s="23"/>
      <c r="AE281" s="23"/>
      <c r="AF281" s="23"/>
      <c r="AI281" s="22"/>
      <c r="AO281" s="23"/>
      <c r="AP281" s="23"/>
      <c r="AQ281" s="23"/>
      <c r="BI281" s="23"/>
      <c r="BL281" s="22"/>
      <c r="BM281" s="22"/>
      <c r="BN281" s="22"/>
      <c r="BO281" s="22"/>
    </row>
    <row r="282" spans="9:67" customFormat="1" ht="16.5">
      <c r="I282" s="22"/>
      <c r="R282" s="22"/>
      <c r="Z282" s="23"/>
      <c r="AA282" s="23"/>
      <c r="AB282" s="23"/>
      <c r="AC282" s="23"/>
      <c r="AD282" s="23"/>
      <c r="AE282" s="23"/>
      <c r="AF282" s="23"/>
      <c r="AI282" s="22"/>
      <c r="AO282" s="23"/>
      <c r="AP282" s="23"/>
      <c r="AQ282" s="23"/>
      <c r="BI282" s="23"/>
      <c r="BL282" s="22"/>
      <c r="BM282" s="22"/>
      <c r="BN282" s="22"/>
      <c r="BO282" s="22"/>
    </row>
    <row r="283" spans="9:67" customFormat="1" ht="16.5">
      <c r="I283" s="22"/>
      <c r="R283" s="22"/>
      <c r="Z283" s="23"/>
      <c r="AA283" s="23"/>
      <c r="AB283" s="23"/>
      <c r="AC283" s="23"/>
      <c r="AD283" s="23"/>
      <c r="AE283" s="23"/>
      <c r="AF283" s="23"/>
      <c r="AI283" s="22"/>
      <c r="AO283" s="23"/>
      <c r="AP283" s="23"/>
      <c r="AQ283" s="23"/>
      <c r="BI283" s="23"/>
      <c r="BL283" s="22"/>
      <c r="BM283" s="22"/>
      <c r="BN283" s="22"/>
      <c r="BO283" s="22"/>
    </row>
    <row r="284" spans="9:67" customFormat="1" ht="16.5">
      <c r="I284" s="22"/>
      <c r="R284" s="22"/>
      <c r="Z284" s="23"/>
      <c r="AA284" s="23"/>
      <c r="AB284" s="23"/>
      <c r="AC284" s="23"/>
      <c r="AD284" s="23"/>
      <c r="AE284" s="23"/>
      <c r="AF284" s="23"/>
      <c r="AI284" s="22"/>
      <c r="AO284" s="23"/>
      <c r="AP284" s="23"/>
      <c r="AQ284" s="23"/>
      <c r="BI284" s="23"/>
      <c r="BL284" s="22"/>
      <c r="BM284" s="22"/>
      <c r="BN284" s="22"/>
      <c r="BO284" s="22"/>
    </row>
    <row r="285" spans="9:67" customFormat="1" ht="16.5">
      <c r="I285" s="22"/>
      <c r="R285" s="22"/>
      <c r="Z285" s="23"/>
      <c r="AA285" s="23"/>
      <c r="AB285" s="23"/>
      <c r="AC285" s="23"/>
      <c r="AD285" s="23"/>
      <c r="AE285" s="23"/>
      <c r="AF285" s="23"/>
      <c r="AI285" s="22"/>
      <c r="AO285" s="23"/>
      <c r="AP285" s="23"/>
      <c r="AQ285" s="23"/>
      <c r="BI285" s="23"/>
      <c r="BL285" s="22"/>
      <c r="BM285" s="22"/>
      <c r="BN285" s="22"/>
      <c r="BO285" s="22"/>
    </row>
    <row r="286" spans="9:67" customFormat="1" ht="16.5">
      <c r="I286" s="22"/>
      <c r="R286" s="22"/>
      <c r="Z286" s="23"/>
      <c r="AA286" s="23"/>
      <c r="AB286" s="23"/>
      <c r="AC286" s="23"/>
      <c r="AD286" s="23"/>
      <c r="AE286" s="23"/>
      <c r="AF286" s="23"/>
      <c r="AI286" s="22"/>
      <c r="AO286" s="23"/>
      <c r="AP286" s="23"/>
      <c r="AQ286" s="23"/>
      <c r="BI286" s="23"/>
      <c r="BL286" s="22"/>
      <c r="BM286" s="22"/>
      <c r="BN286" s="22"/>
      <c r="BO286" s="22"/>
    </row>
    <row r="287" spans="9:67" customFormat="1" ht="16.5">
      <c r="I287" s="22"/>
      <c r="R287" s="22"/>
      <c r="Z287" s="23"/>
      <c r="AA287" s="23"/>
      <c r="AB287" s="23"/>
      <c r="AC287" s="23"/>
      <c r="AD287" s="23"/>
      <c r="AE287" s="23"/>
      <c r="AF287" s="23"/>
      <c r="AI287" s="22"/>
      <c r="AO287" s="23"/>
      <c r="AP287" s="23"/>
      <c r="AQ287" s="23"/>
      <c r="BI287" s="23"/>
      <c r="BL287" s="22"/>
      <c r="BM287" s="22"/>
      <c r="BN287" s="22"/>
      <c r="BO287" s="22"/>
    </row>
    <row r="288" spans="9:67" customFormat="1" ht="16.5">
      <c r="I288" s="22"/>
      <c r="R288" s="22"/>
      <c r="Z288" s="23"/>
      <c r="AA288" s="23"/>
      <c r="AB288" s="23"/>
      <c r="AC288" s="23"/>
      <c r="AD288" s="23"/>
      <c r="AE288" s="23"/>
      <c r="AF288" s="23"/>
      <c r="AI288" s="22"/>
      <c r="AO288" s="23"/>
      <c r="AP288" s="23"/>
      <c r="AQ288" s="23"/>
      <c r="BI288" s="23"/>
      <c r="BL288" s="22"/>
      <c r="BM288" s="22"/>
      <c r="BN288" s="22"/>
      <c r="BO288" s="22"/>
    </row>
    <row r="289" spans="9:67" customFormat="1" ht="16.5">
      <c r="I289" s="22"/>
      <c r="R289" s="22"/>
      <c r="Z289" s="23"/>
      <c r="AA289" s="23"/>
      <c r="AB289" s="23"/>
      <c r="AC289" s="23"/>
      <c r="AD289" s="23"/>
      <c r="AE289" s="23"/>
      <c r="AF289" s="23"/>
      <c r="AI289" s="22"/>
      <c r="AO289" s="23"/>
      <c r="AP289" s="23"/>
      <c r="AQ289" s="23"/>
      <c r="BI289" s="23"/>
      <c r="BL289" s="22"/>
      <c r="BM289" s="22"/>
      <c r="BN289" s="22"/>
      <c r="BO289" s="22"/>
    </row>
    <row r="290" spans="9:67" customFormat="1" ht="16.5">
      <c r="I290" s="22"/>
      <c r="R290" s="22"/>
      <c r="Z290" s="23"/>
      <c r="AA290" s="23"/>
      <c r="AB290" s="23"/>
      <c r="AC290" s="23"/>
      <c r="AD290" s="23"/>
      <c r="AE290" s="23"/>
      <c r="AF290" s="23"/>
      <c r="AI290" s="22"/>
      <c r="AO290" s="23"/>
      <c r="AP290" s="23"/>
      <c r="AQ290" s="23"/>
      <c r="BI290" s="23"/>
      <c r="BL290" s="22"/>
      <c r="BM290" s="22"/>
      <c r="BN290" s="22"/>
      <c r="BO290" s="22"/>
    </row>
    <row r="291" spans="9:67" customFormat="1" ht="16.5">
      <c r="I291" s="22"/>
      <c r="R291" s="22"/>
      <c r="Z291" s="23"/>
      <c r="AA291" s="23"/>
      <c r="AB291" s="23"/>
      <c r="AC291" s="23"/>
      <c r="AD291" s="23"/>
      <c r="AE291" s="23"/>
      <c r="AF291" s="23"/>
      <c r="AI291" s="22"/>
      <c r="AO291" s="23"/>
      <c r="AP291" s="23"/>
      <c r="AQ291" s="23"/>
      <c r="BI291" s="23"/>
      <c r="BL291" s="22"/>
      <c r="BM291" s="22"/>
      <c r="BN291" s="22"/>
      <c r="BO291" s="22"/>
    </row>
    <row r="292" spans="9:67" customFormat="1" ht="16.5">
      <c r="I292" s="22"/>
      <c r="R292" s="22"/>
      <c r="Z292" s="23"/>
      <c r="AA292" s="23"/>
      <c r="AB292" s="23"/>
      <c r="AC292" s="23"/>
      <c r="AD292" s="23"/>
      <c r="AE292" s="23"/>
      <c r="AF292" s="23"/>
      <c r="AI292" s="22"/>
      <c r="AO292" s="23"/>
      <c r="AP292" s="23"/>
      <c r="AQ292" s="23"/>
      <c r="BI292" s="23"/>
      <c r="BL292" s="22"/>
      <c r="BM292" s="22"/>
      <c r="BN292" s="22"/>
      <c r="BO292" s="22"/>
    </row>
    <row r="293" spans="9:67" customFormat="1" ht="16.5">
      <c r="I293" s="22"/>
      <c r="R293" s="22"/>
      <c r="Z293" s="23"/>
      <c r="AA293" s="23"/>
      <c r="AB293" s="23"/>
      <c r="AC293" s="23"/>
      <c r="AD293" s="23"/>
      <c r="AE293" s="23"/>
      <c r="AF293" s="23"/>
      <c r="AI293" s="22"/>
      <c r="AO293" s="23"/>
      <c r="AP293" s="23"/>
      <c r="AQ293" s="23"/>
      <c r="BI293" s="23"/>
      <c r="BL293" s="22"/>
      <c r="BM293" s="22"/>
      <c r="BN293" s="22"/>
      <c r="BO293" s="22"/>
    </row>
    <row r="294" spans="9:67" customFormat="1" ht="16.5">
      <c r="I294" s="22"/>
      <c r="R294" s="22"/>
      <c r="Z294" s="23"/>
      <c r="AA294" s="23"/>
      <c r="AB294" s="23"/>
      <c r="AC294" s="23"/>
      <c r="AD294" s="23"/>
      <c r="AE294" s="23"/>
      <c r="AF294" s="23"/>
      <c r="AI294" s="22"/>
      <c r="AO294" s="23"/>
      <c r="AP294" s="23"/>
      <c r="AQ294" s="23"/>
      <c r="BI294" s="23"/>
      <c r="BL294" s="22"/>
      <c r="BM294" s="22"/>
      <c r="BN294" s="22"/>
      <c r="BO294" s="22"/>
    </row>
    <row r="295" spans="9:67" customFormat="1" ht="16.5">
      <c r="I295" s="22"/>
      <c r="R295" s="22"/>
      <c r="Z295" s="23"/>
      <c r="AA295" s="23"/>
      <c r="AB295" s="23"/>
      <c r="AC295" s="23"/>
      <c r="AD295" s="23"/>
      <c r="AE295" s="23"/>
      <c r="AF295" s="23"/>
      <c r="AI295" s="22"/>
      <c r="AO295" s="23"/>
      <c r="AP295" s="23"/>
      <c r="AQ295" s="23"/>
      <c r="BI295" s="23"/>
      <c r="BL295" s="22"/>
      <c r="BM295" s="22"/>
      <c r="BN295" s="22"/>
      <c r="BO295" s="22"/>
    </row>
    <row r="296" spans="9:67" customFormat="1" ht="16.5">
      <c r="I296" s="22"/>
      <c r="R296" s="22"/>
      <c r="Z296" s="23"/>
      <c r="AA296" s="23"/>
      <c r="AB296" s="23"/>
      <c r="AC296" s="23"/>
      <c r="AD296" s="23"/>
      <c r="AE296" s="23"/>
      <c r="AF296" s="23"/>
      <c r="AI296" s="22"/>
      <c r="AO296" s="23"/>
      <c r="AP296" s="23"/>
      <c r="AQ296" s="23"/>
      <c r="BI296" s="23"/>
      <c r="BL296" s="22"/>
      <c r="BM296" s="22"/>
      <c r="BN296" s="22"/>
      <c r="BO296" s="22"/>
    </row>
    <row r="297" spans="9:67" customFormat="1" ht="16.5">
      <c r="I297" s="22"/>
      <c r="R297" s="22"/>
      <c r="Z297" s="23"/>
      <c r="AA297" s="23"/>
      <c r="AB297" s="23"/>
      <c r="AC297" s="23"/>
      <c r="AD297" s="23"/>
      <c r="AE297" s="23"/>
      <c r="AF297" s="23"/>
      <c r="AI297" s="22"/>
      <c r="AO297" s="23"/>
      <c r="AP297" s="23"/>
      <c r="AQ297" s="23"/>
      <c r="BI297" s="23"/>
      <c r="BL297" s="22"/>
      <c r="BM297" s="22"/>
      <c r="BN297" s="22"/>
      <c r="BO297" s="22"/>
    </row>
    <row r="298" spans="9:67" customFormat="1" ht="16.5">
      <c r="I298" s="22"/>
      <c r="R298" s="22"/>
      <c r="Z298" s="23"/>
      <c r="AA298" s="23"/>
      <c r="AB298" s="23"/>
      <c r="AC298" s="23"/>
      <c r="AD298" s="23"/>
      <c r="AE298" s="23"/>
      <c r="AF298" s="23"/>
      <c r="AI298" s="22"/>
      <c r="AO298" s="23"/>
      <c r="AP298" s="23"/>
      <c r="AQ298" s="23"/>
      <c r="BI298" s="23"/>
      <c r="BL298" s="22"/>
      <c r="BM298" s="22"/>
      <c r="BN298" s="22"/>
      <c r="BO298" s="22"/>
    </row>
    <row r="299" spans="9:67" customFormat="1" ht="16.5">
      <c r="I299" s="22"/>
      <c r="R299" s="22"/>
      <c r="Z299" s="23"/>
      <c r="AA299" s="23"/>
      <c r="AB299" s="23"/>
      <c r="AC299" s="23"/>
      <c r="AD299" s="23"/>
      <c r="AE299" s="23"/>
      <c r="AF299" s="23"/>
      <c r="AI299" s="22"/>
      <c r="AO299" s="23"/>
      <c r="AP299" s="23"/>
      <c r="AQ299" s="23"/>
      <c r="BI299" s="23"/>
      <c r="BL299" s="22"/>
      <c r="BM299" s="22"/>
      <c r="BN299" s="22"/>
      <c r="BO299" s="22"/>
    </row>
    <row r="300" spans="9:67" customFormat="1" ht="16.5">
      <c r="I300" s="22"/>
      <c r="R300" s="22"/>
      <c r="Z300" s="23"/>
      <c r="AA300" s="23"/>
      <c r="AB300" s="23"/>
      <c r="AC300" s="23"/>
      <c r="AD300" s="23"/>
      <c r="AE300" s="23"/>
      <c r="AF300" s="23"/>
      <c r="AI300" s="22"/>
      <c r="AO300" s="23"/>
      <c r="AP300" s="23"/>
      <c r="AQ300" s="23"/>
      <c r="BI300" s="23"/>
      <c r="BL300" s="22"/>
      <c r="BM300" s="22"/>
      <c r="BN300" s="22"/>
      <c r="BO300" s="22"/>
    </row>
    <row r="301" spans="9:67" customFormat="1" ht="16.5">
      <c r="I301" s="22"/>
      <c r="R301" s="22"/>
      <c r="Z301" s="23"/>
      <c r="AA301" s="23"/>
      <c r="AB301" s="23"/>
      <c r="AC301" s="23"/>
      <c r="AD301" s="23"/>
      <c r="AE301" s="23"/>
      <c r="AF301" s="23"/>
      <c r="AI301" s="22"/>
      <c r="AO301" s="23"/>
      <c r="AP301" s="23"/>
      <c r="AQ301" s="23"/>
      <c r="BI301" s="23"/>
      <c r="BL301" s="22"/>
      <c r="BM301" s="22"/>
      <c r="BN301" s="22"/>
      <c r="BO301" s="22"/>
    </row>
    <row r="302" spans="9:67" customFormat="1" ht="16.5">
      <c r="I302" s="22"/>
      <c r="R302" s="22"/>
      <c r="Z302" s="23"/>
      <c r="AA302" s="23"/>
      <c r="AB302" s="23"/>
      <c r="AC302" s="23"/>
      <c r="AD302" s="23"/>
      <c r="AE302" s="23"/>
      <c r="AF302" s="23"/>
      <c r="AI302" s="22"/>
      <c r="AO302" s="23"/>
      <c r="AP302" s="23"/>
      <c r="AQ302" s="23"/>
      <c r="BI302" s="23"/>
      <c r="BL302" s="22"/>
      <c r="BM302" s="22"/>
      <c r="BN302" s="22"/>
      <c r="BO302" s="22"/>
    </row>
    <row r="303" spans="9:67" customFormat="1" ht="16.5">
      <c r="I303" s="22"/>
      <c r="R303" s="22"/>
      <c r="Z303" s="23"/>
      <c r="AA303" s="23"/>
      <c r="AB303" s="23"/>
      <c r="AC303" s="23"/>
      <c r="AD303" s="23"/>
      <c r="AE303" s="23"/>
      <c r="AF303" s="23"/>
      <c r="AI303" s="22"/>
      <c r="AO303" s="23"/>
      <c r="AP303" s="23"/>
      <c r="AQ303" s="23"/>
      <c r="BI303" s="23"/>
      <c r="BL303" s="22"/>
      <c r="BM303" s="22"/>
      <c r="BN303" s="22"/>
      <c r="BO303" s="22"/>
    </row>
    <row r="304" spans="9:67" customFormat="1" ht="16.5">
      <c r="I304" s="22"/>
      <c r="R304" s="22"/>
      <c r="Z304" s="23"/>
      <c r="AA304" s="23"/>
      <c r="AB304" s="23"/>
      <c r="AC304" s="23"/>
      <c r="AD304" s="23"/>
      <c r="AE304" s="23"/>
      <c r="AF304" s="23"/>
      <c r="AI304" s="22"/>
      <c r="AO304" s="23"/>
      <c r="AP304" s="23"/>
      <c r="AQ304" s="23"/>
      <c r="BI304" s="23"/>
      <c r="BL304" s="22"/>
      <c r="BM304" s="22"/>
      <c r="BN304" s="22"/>
      <c r="BO304" s="22"/>
    </row>
    <row r="305" spans="9:67" customFormat="1" ht="16.5">
      <c r="I305" s="22"/>
      <c r="R305" s="22"/>
      <c r="Z305" s="23"/>
      <c r="AA305" s="23"/>
      <c r="AB305" s="23"/>
      <c r="AC305" s="23"/>
      <c r="AD305" s="23"/>
      <c r="AE305" s="23"/>
      <c r="AF305" s="23"/>
      <c r="AI305" s="22"/>
      <c r="AO305" s="23"/>
      <c r="AP305" s="23"/>
      <c r="AQ305" s="23"/>
      <c r="BI305" s="23"/>
      <c r="BL305" s="22"/>
      <c r="BM305" s="22"/>
      <c r="BN305" s="22"/>
      <c r="BO305" s="22"/>
    </row>
    <row r="306" spans="9:67" customFormat="1" ht="16.5">
      <c r="I306" s="22"/>
      <c r="R306" s="22"/>
      <c r="Z306" s="23"/>
      <c r="AA306" s="23"/>
      <c r="AB306" s="23"/>
      <c r="AC306" s="23"/>
      <c r="AD306" s="23"/>
      <c r="AE306" s="23"/>
      <c r="AF306" s="23"/>
      <c r="AI306" s="22"/>
      <c r="AO306" s="23"/>
      <c r="AP306" s="23"/>
      <c r="AQ306" s="23"/>
      <c r="BI306" s="23"/>
      <c r="BL306" s="22"/>
      <c r="BM306" s="22"/>
      <c r="BN306" s="22"/>
      <c r="BO306" s="22"/>
    </row>
    <row r="307" spans="9:67" customFormat="1" ht="16.5">
      <c r="I307" s="22"/>
      <c r="R307" s="22"/>
      <c r="Z307" s="23"/>
      <c r="AA307" s="23"/>
      <c r="AB307" s="23"/>
      <c r="AC307" s="23"/>
      <c r="AD307" s="23"/>
      <c r="AE307" s="23"/>
      <c r="AF307" s="23"/>
      <c r="AI307" s="22"/>
      <c r="AO307" s="23"/>
      <c r="AP307" s="23"/>
      <c r="AQ307" s="23"/>
      <c r="BI307" s="23"/>
      <c r="BL307" s="22"/>
      <c r="BM307" s="22"/>
      <c r="BN307" s="22"/>
      <c r="BO307" s="22"/>
    </row>
    <row r="308" spans="9:67" customFormat="1" ht="16.5">
      <c r="I308" s="22"/>
      <c r="R308" s="22"/>
      <c r="Z308" s="23"/>
      <c r="AA308" s="23"/>
      <c r="AB308" s="23"/>
      <c r="AC308" s="23"/>
      <c r="AD308" s="23"/>
      <c r="AE308" s="23"/>
      <c r="AF308" s="23"/>
      <c r="AI308" s="22"/>
      <c r="AO308" s="23"/>
      <c r="AP308" s="23"/>
      <c r="AQ308" s="23"/>
      <c r="BI308" s="23"/>
      <c r="BL308" s="22"/>
      <c r="BM308" s="22"/>
      <c r="BN308" s="22"/>
      <c r="BO308" s="22"/>
    </row>
    <row r="309" spans="9:67" customFormat="1" ht="16.5">
      <c r="I309" s="22"/>
      <c r="R309" s="22"/>
      <c r="Z309" s="23"/>
      <c r="AA309" s="23"/>
      <c r="AB309" s="23"/>
      <c r="AC309" s="23"/>
      <c r="AD309" s="23"/>
      <c r="AE309" s="23"/>
      <c r="AF309" s="23"/>
      <c r="AI309" s="22"/>
      <c r="AO309" s="23"/>
      <c r="AP309" s="23"/>
      <c r="AQ309" s="23"/>
      <c r="BI309" s="23"/>
      <c r="BL309" s="22"/>
      <c r="BM309" s="22"/>
      <c r="BN309" s="22"/>
      <c r="BO309" s="22"/>
    </row>
    <row r="310" spans="9:67" customFormat="1" ht="16.5">
      <c r="I310" s="22"/>
      <c r="R310" s="22"/>
      <c r="X310" s="22"/>
      <c r="Z310" s="23"/>
      <c r="AA310" s="23"/>
      <c r="AB310" s="23"/>
      <c r="AC310" s="23"/>
      <c r="AD310" s="23"/>
      <c r="AE310" s="23"/>
      <c r="AF310" s="23"/>
      <c r="AG310" s="23"/>
      <c r="AH310" s="22"/>
      <c r="AI310" s="22"/>
      <c r="AJ310" s="22"/>
      <c r="AK310" s="22"/>
      <c r="AO310" s="23"/>
      <c r="AP310" s="23"/>
      <c r="AQ310" s="23"/>
      <c r="AS310" s="23"/>
      <c r="AT310" s="23"/>
      <c r="AV310" s="23"/>
      <c r="BB310" s="23"/>
      <c r="BI310" s="23"/>
      <c r="BK310" s="23"/>
      <c r="BL310" s="22"/>
      <c r="BM310" s="22"/>
      <c r="BN310" s="22"/>
      <c r="BO310" s="22"/>
    </row>
    <row r="311" spans="9:67" customFormat="1" ht="16.5">
      <c r="I311" s="22"/>
      <c r="R311" s="22"/>
      <c r="X311" s="22"/>
      <c r="Z311" s="23"/>
      <c r="AA311" s="23"/>
      <c r="AB311" s="23"/>
      <c r="AC311" s="23"/>
      <c r="AD311" s="23"/>
      <c r="AE311" s="23"/>
      <c r="AF311" s="23"/>
      <c r="AG311" s="23"/>
      <c r="AH311" s="22"/>
      <c r="AI311" s="22"/>
      <c r="AJ311" s="22"/>
      <c r="AK311" s="22"/>
      <c r="AO311" s="23"/>
      <c r="AP311" s="23"/>
      <c r="AQ311" s="23"/>
      <c r="AS311" s="23"/>
      <c r="AT311" s="23"/>
      <c r="AV311" s="23"/>
      <c r="BB311" s="23"/>
      <c r="BI311" s="23"/>
      <c r="BK311" s="23"/>
      <c r="BL311" s="22"/>
      <c r="BM311" s="22"/>
      <c r="BN311" s="22"/>
      <c r="BO311" s="22"/>
    </row>
    <row r="312" spans="9:67" customFormat="1" ht="16.5">
      <c r="I312" s="22"/>
      <c r="R312" s="22"/>
      <c r="X312" s="22"/>
      <c r="Z312" s="23"/>
      <c r="AA312" s="23"/>
      <c r="AB312" s="23"/>
      <c r="AC312" s="23"/>
      <c r="AD312" s="23"/>
      <c r="AE312" s="23"/>
      <c r="AF312" s="23"/>
      <c r="AG312" s="23"/>
      <c r="AH312" s="22"/>
      <c r="AI312" s="22"/>
      <c r="AJ312" s="22"/>
      <c r="AK312" s="22"/>
      <c r="AO312" s="23"/>
      <c r="AP312" s="23"/>
      <c r="AQ312" s="23"/>
      <c r="AS312" s="23"/>
      <c r="AT312" s="23"/>
      <c r="AV312" s="23"/>
      <c r="BB312" s="23"/>
      <c r="BI312" s="23"/>
      <c r="BK312" s="23"/>
      <c r="BL312" s="22"/>
      <c r="BM312" s="22"/>
      <c r="BN312" s="22"/>
      <c r="BO312" s="22"/>
    </row>
    <row r="313" spans="9:67" customFormat="1" ht="16.5">
      <c r="I313" s="22"/>
      <c r="R313" s="22"/>
      <c r="X313" s="22"/>
      <c r="Z313" s="23"/>
      <c r="AA313" s="23"/>
      <c r="AB313" s="23"/>
      <c r="AC313" s="23"/>
      <c r="AD313" s="23"/>
      <c r="AE313" s="23"/>
      <c r="AF313" s="23"/>
      <c r="AG313" s="23"/>
      <c r="AH313" s="22"/>
      <c r="AI313" s="22"/>
      <c r="AJ313" s="22"/>
      <c r="AK313" s="22"/>
      <c r="AO313" s="23"/>
      <c r="AP313" s="23"/>
      <c r="AQ313" s="23"/>
      <c r="AS313" s="23"/>
      <c r="AT313" s="23"/>
      <c r="AV313" s="23"/>
      <c r="BB313" s="23"/>
      <c r="BI313" s="23"/>
      <c r="BK313" s="23"/>
      <c r="BL313" s="22"/>
      <c r="BM313" s="22"/>
      <c r="BN313" s="22"/>
      <c r="BO313" s="22"/>
    </row>
    <row r="314" spans="9:67" customFormat="1" ht="16.5">
      <c r="I314" s="22"/>
      <c r="R314" s="22"/>
      <c r="X314" s="22"/>
      <c r="Z314" s="23"/>
      <c r="AA314" s="23"/>
      <c r="AB314" s="23"/>
      <c r="AC314" s="23"/>
      <c r="AD314" s="23"/>
      <c r="AE314" s="23"/>
      <c r="AF314" s="23"/>
      <c r="AG314" s="23"/>
      <c r="AH314" s="22"/>
      <c r="AI314" s="22"/>
      <c r="AJ314" s="22"/>
      <c r="AK314" s="22"/>
      <c r="AO314" s="23"/>
      <c r="AP314" s="23"/>
      <c r="AQ314" s="23"/>
      <c r="AS314" s="23"/>
      <c r="AT314" s="23"/>
      <c r="AV314" s="23"/>
      <c r="BB314" s="23"/>
      <c r="BI314" s="23"/>
      <c r="BK314" s="23"/>
      <c r="BL314" s="22"/>
      <c r="BM314" s="22"/>
      <c r="BN314" s="22"/>
      <c r="BO314" s="22"/>
    </row>
    <row r="315" spans="9:67" customFormat="1" ht="16.5">
      <c r="I315" s="22"/>
      <c r="R315" s="22"/>
      <c r="X315" s="22"/>
      <c r="Z315" s="23"/>
      <c r="AA315" s="23"/>
      <c r="AB315" s="23"/>
      <c r="AC315" s="23"/>
      <c r="AD315" s="23"/>
      <c r="AE315" s="23"/>
      <c r="AF315" s="23"/>
      <c r="AG315" s="23"/>
      <c r="AH315" s="22"/>
      <c r="AI315" s="22"/>
      <c r="AJ315" s="22"/>
      <c r="AK315" s="22"/>
      <c r="AO315" s="23"/>
      <c r="AP315" s="23"/>
      <c r="AQ315" s="23"/>
      <c r="AS315" s="23"/>
      <c r="AT315" s="23"/>
      <c r="AV315" s="23"/>
      <c r="BB315" s="23"/>
      <c r="BI315" s="23"/>
      <c r="BK315" s="23"/>
      <c r="BL315" s="22"/>
      <c r="BM315" s="22"/>
      <c r="BN315" s="22"/>
      <c r="BO315" s="22"/>
    </row>
    <row r="316" spans="9:67" customFormat="1" ht="16.5">
      <c r="I316" s="22"/>
      <c r="R316" s="22"/>
      <c r="X316" s="22"/>
      <c r="Z316" s="23"/>
      <c r="AA316" s="23"/>
      <c r="AB316" s="23"/>
      <c r="AC316" s="23"/>
      <c r="AD316" s="23"/>
      <c r="AE316" s="23"/>
      <c r="AF316" s="23"/>
      <c r="AG316" s="23"/>
      <c r="AH316" s="22"/>
      <c r="AI316" s="22"/>
      <c r="AJ316" s="22"/>
      <c r="AK316" s="22"/>
      <c r="AO316" s="23"/>
      <c r="AP316" s="23"/>
      <c r="AQ316" s="23"/>
      <c r="AS316" s="23"/>
      <c r="AT316" s="23"/>
      <c r="AV316" s="23"/>
      <c r="BB316" s="23"/>
      <c r="BI316" s="23"/>
      <c r="BK316" s="23"/>
      <c r="BL316" s="22"/>
      <c r="BM316" s="22"/>
      <c r="BN316" s="22"/>
      <c r="BO316" s="22"/>
    </row>
    <row r="317" spans="9:67" customFormat="1" ht="16.5">
      <c r="I317" s="22"/>
      <c r="R317" s="22"/>
      <c r="X317" s="22"/>
      <c r="Z317" s="23"/>
      <c r="AA317" s="23"/>
      <c r="AB317" s="23"/>
      <c r="AC317" s="23"/>
      <c r="AD317" s="23"/>
      <c r="AE317" s="23"/>
      <c r="AF317" s="23"/>
      <c r="AG317" s="23"/>
      <c r="AH317" s="22"/>
      <c r="AI317" s="22"/>
      <c r="AJ317" s="22"/>
      <c r="AK317" s="22"/>
      <c r="AO317" s="23"/>
      <c r="AP317" s="23"/>
      <c r="AQ317" s="23"/>
      <c r="AS317" s="23"/>
      <c r="AT317" s="23"/>
      <c r="AV317" s="23"/>
      <c r="BB317" s="23"/>
      <c r="BI317" s="23"/>
      <c r="BK317" s="23"/>
      <c r="BL317" s="22"/>
      <c r="BM317" s="22"/>
      <c r="BN317" s="22"/>
      <c r="BO317" s="22"/>
    </row>
    <row r="318" spans="9:67" customFormat="1" ht="16.5">
      <c r="I318" s="22"/>
      <c r="R318" s="22"/>
      <c r="X318" s="22"/>
      <c r="Z318" s="23"/>
      <c r="AA318" s="23"/>
      <c r="AB318" s="23"/>
      <c r="AC318" s="23"/>
      <c r="AD318" s="23"/>
      <c r="AE318" s="23"/>
      <c r="AF318" s="23"/>
      <c r="AG318" s="23"/>
      <c r="AH318" s="22"/>
      <c r="AI318" s="22"/>
      <c r="AJ318" s="22"/>
      <c r="AK318" s="22"/>
      <c r="AO318" s="23"/>
      <c r="AP318" s="23"/>
      <c r="AQ318" s="23"/>
      <c r="AS318" s="23"/>
      <c r="AT318" s="23"/>
      <c r="AV318" s="23"/>
      <c r="BB318" s="23"/>
      <c r="BI318" s="23"/>
      <c r="BK318" s="23"/>
      <c r="BL318" s="22"/>
      <c r="BM318" s="22"/>
      <c r="BN318" s="22"/>
      <c r="BO318" s="22"/>
    </row>
    <row r="319" spans="9:67" customFormat="1" ht="16.5">
      <c r="I319" s="22"/>
      <c r="R319" s="22"/>
      <c r="X319" s="22"/>
      <c r="Z319" s="23"/>
      <c r="AA319" s="23"/>
      <c r="AB319" s="23"/>
      <c r="AC319" s="23"/>
      <c r="AD319" s="23"/>
      <c r="AE319" s="23"/>
      <c r="AF319" s="23"/>
      <c r="AG319" s="23"/>
      <c r="AH319" s="22"/>
      <c r="AI319" s="22"/>
      <c r="AJ319" s="22"/>
      <c r="AK319" s="22"/>
      <c r="AO319" s="23"/>
      <c r="AP319" s="23"/>
      <c r="AQ319" s="23"/>
      <c r="AS319" s="23"/>
      <c r="AT319" s="23"/>
      <c r="AV319" s="23"/>
      <c r="BB319" s="23"/>
      <c r="BI319" s="23"/>
      <c r="BK319" s="23"/>
      <c r="BL319" s="22"/>
      <c r="BM319" s="22"/>
      <c r="BN319" s="22"/>
      <c r="BO319" s="22"/>
    </row>
    <row r="320" spans="9:67" customFormat="1" ht="16.5">
      <c r="I320" s="22"/>
      <c r="R320" s="22"/>
      <c r="X320" s="22"/>
      <c r="Z320" s="23"/>
      <c r="AA320" s="23"/>
      <c r="AB320" s="23"/>
      <c r="AC320" s="23"/>
      <c r="AD320" s="23"/>
      <c r="AE320" s="23"/>
      <c r="AF320" s="23"/>
      <c r="AG320" s="23"/>
      <c r="AH320" s="22"/>
      <c r="AI320" s="22"/>
      <c r="AJ320" s="22"/>
      <c r="AK320" s="22"/>
      <c r="AO320" s="23"/>
      <c r="AP320" s="23"/>
      <c r="AQ320" s="23"/>
      <c r="AS320" s="23"/>
      <c r="AT320" s="23"/>
      <c r="AV320" s="23"/>
      <c r="BB320" s="23"/>
      <c r="BI320" s="23"/>
      <c r="BK320" s="23"/>
      <c r="BL320" s="22"/>
      <c r="BM320" s="22"/>
      <c r="BN320" s="22"/>
      <c r="BO320" s="22"/>
    </row>
    <row r="321" spans="9:67" customFormat="1" ht="16.5">
      <c r="I321" s="22"/>
      <c r="R321" s="22"/>
      <c r="X321" s="22"/>
      <c r="Z321" s="23"/>
      <c r="AA321" s="23"/>
      <c r="AB321" s="23"/>
      <c r="AC321" s="23"/>
      <c r="AD321" s="23"/>
      <c r="AE321" s="23"/>
      <c r="AF321" s="23"/>
      <c r="AG321" s="23"/>
      <c r="AH321" s="22"/>
      <c r="AI321" s="22"/>
      <c r="AJ321" s="22"/>
      <c r="AK321" s="22"/>
      <c r="AO321" s="23"/>
      <c r="AP321" s="23"/>
      <c r="AQ321" s="23"/>
      <c r="AS321" s="23"/>
      <c r="AT321" s="23"/>
      <c r="AV321" s="23"/>
      <c r="BB321" s="23"/>
      <c r="BI321" s="23"/>
      <c r="BK321" s="23"/>
      <c r="BL321" s="22"/>
      <c r="BM321" s="22"/>
      <c r="BN321" s="22"/>
      <c r="BO321" s="22"/>
    </row>
    <row r="322" spans="9:67" customFormat="1" ht="16.5">
      <c r="I322" s="22"/>
      <c r="R322" s="22"/>
      <c r="X322" s="22"/>
      <c r="Z322" s="23"/>
      <c r="AA322" s="23"/>
      <c r="AB322" s="23"/>
      <c r="AC322" s="23"/>
      <c r="AD322" s="23"/>
      <c r="AE322" s="23"/>
      <c r="AF322" s="23"/>
      <c r="AG322" s="23"/>
      <c r="AH322" s="22"/>
      <c r="AI322" s="22"/>
      <c r="AJ322" s="22"/>
      <c r="AK322" s="22"/>
      <c r="AO322" s="23"/>
      <c r="AP322" s="23"/>
      <c r="AQ322" s="23"/>
      <c r="AS322" s="23"/>
      <c r="AT322" s="23"/>
      <c r="AV322" s="23"/>
      <c r="BB322" s="23"/>
      <c r="BI322" s="23"/>
      <c r="BK322" s="23"/>
      <c r="BL322" s="22"/>
      <c r="BM322" s="22"/>
      <c r="BN322" s="22"/>
      <c r="BO322" s="22"/>
    </row>
    <row r="323" spans="9:67" customFormat="1" ht="16.5">
      <c r="I323" s="22"/>
      <c r="R323" s="22"/>
      <c r="X323" s="22"/>
      <c r="Z323" s="23"/>
      <c r="AA323" s="23"/>
      <c r="AB323" s="23"/>
      <c r="AC323" s="23"/>
      <c r="AD323" s="23"/>
      <c r="AE323" s="23"/>
      <c r="AF323" s="23"/>
      <c r="AG323" s="23"/>
      <c r="AH323" s="22"/>
      <c r="AI323" s="22"/>
      <c r="AJ323" s="22"/>
      <c r="AK323" s="22"/>
      <c r="AO323" s="23"/>
      <c r="AP323" s="23"/>
      <c r="AQ323" s="23"/>
      <c r="AS323" s="23"/>
      <c r="AT323" s="23"/>
      <c r="AV323" s="23"/>
      <c r="BB323" s="23"/>
      <c r="BI323" s="23"/>
      <c r="BK323" s="23"/>
      <c r="BL323" s="22"/>
      <c r="BM323" s="22"/>
      <c r="BN323" s="22"/>
      <c r="BO323" s="22"/>
    </row>
    <row r="324" spans="9:67" customFormat="1" ht="16.5">
      <c r="I324" s="22"/>
      <c r="R324" s="22"/>
      <c r="X324" s="22"/>
      <c r="Z324" s="23"/>
      <c r="AA324" s="23"/>
      <c r="AB324" s="23"/>
      <c r="AC324" s="23"/>
      <c r="AD324" s="23"/>
      <c r="AE324" s="23"/>
      <c r="AF324" s="23"/>
      <c r="AG324" s="23"/>
      <c r="AH324" s="22"/>
      <c r="AI324" s="22"/>
      <c r="AJ324" s="22"/>
      <c r="AK324" s="22"/>
      <c r="AO324" s="23"/>
      <c r="AP324" s="23"/>
      <c r="AQ324" s="23"/>
      <c r="AS324" s="23"/>
      <c r="AT324" s="23"/>
      <c r="AV324" s="23"/>
      <c r="BB324" s="23"/>
      <c r="BI324" s="23"/>
      <c r="BK324" s="23"/>
      <c r="BL324" s="22"/>
      <c r="BM324" s="22"/>
      <c r="BN324" s="22"/>
      <c r="BO324" s="22"/>
    </row>
    <row r="325" spans="9:67" customFormat="1" ht="16.5">
      <c r="I325" s="22"/>
      <c r="R325" s="22"/>
      <c r="X325" s="22"/>
      <c r="Z325" s="23"/>
      <c r="AA325" s="23"/>
      <c r="AB325" s="23"/>
      <c r="AC325" s="23"/>
      <c r="AD325" s="23"/>
      <c r="AE325" s="23"/>
      <c r="AF325" s="23"/>
      <c r="AG325" s="23"/>
      <c r="AH325" s="22"/>
      <c r="AI325" s="22"/>
      <c r="AJ325" s="22"/>
      <c r="AK325" s="22"/>
      <c r="AO325" s="23"/>
      <c r="AP325" s="23"/>
      <c r="AQ325" s="23"/>
      <c r="AS325" s="23"/>
      <c r="AT325" s="23"/>
      <c r="AV325" s="23"/>
      <c r="BB325" s="23"/>
      <c r="BI325" s="23"/>
      <c r="BK325" s="23"/>
      <c r="BL325" s="22"/>
      <c r="BM325" s="22"/>
      <c r="BN325" s="22"/>
      <c r="BO325" s="22"/>
    </row>
    <row r="326" spans="9:67" customFormat="1" ht="16.5">
      <c r="I326" s="22"/>
      <c r="R326" s="22"/>
      <c r="X326" s="22"/>
      <c r="Z326" s="23"/>
      <c r="AA326" s="23"/>
      <c r="AB326" s="23"/>
      <c r="AC326" s="23"/>
      <c r="AD326" s="23"/>
      <c r="AE326" s="23"/>
      <c r="AF326" s="23"/>
      <c r="AG326" s="23"/>
      <c r="AH326" s="22"/>
      <c r="AI326" s="22"/>
      <c r="AJ326" s="22"/>
      <c r="AK326" s="22"/>
      <c r="AO326" s="23"/>
      <c r="AP326" s="23"/>
      <c r="AQ326" s="23"/>
      <c r="AS326" s="23"/>
      <c r="AT326" s="23"/>
      <c r="AV326" s="23"/>
      <c r="BB326" s="23"/>
      <c r="BI326" s="23"/>
      <c r="BK326" s="23"/>
      <c r="BL326" s="22"/>
      <c r="BM326" s="22"/>
      <c r="BN326" s="22"/>
      <c r="BO326" s="22"/>
    </row>
    <row r="327" spans="9:67" customFormat="1" ht="16.5">
      <c r="I327" s="22"/>
      <c r="R327" s="22"/>
      <c r="X327" s="22"/>
      <c r="Z327" s="23"/>
      <c r="AA327" s="23"/>
      <c r="AB327" s="23"/>
      <c r="AC327" s="23"/>
      <c r="AD327" s="23"/>
      <c r="AE327" s="23"/>
      <c r="AF327" s="23"/>
      <c r="AG327" s="23"/>
      <c r="AH327" s="22"/>
      <c r="AI327" s="22"/>
      <c r="AJ327" s="22"/>
      <c r="AK327" s="22"/>
      <c r="AO327" s="23"/>
      <c r="AP327" s="23"/>
      <c r="AQ327" s="23"/>
      <c r="AS327" s="23"/>
      <c r="AT327" s="23"/>
      <c r="AV327" s="23"/>
      <c r="BB327" s="23"/>
      <c r="BI327" s="23"/>
      <c r="BJ327" s="23"/>
      <c r="BK327" s="23"/>
      <c r="BL327" s="22"/>
      <c r="BM327" s="22"/>
      <c r="BN327" s="22"/>
      <c r="BO327" s="22"/>
    </row>
    <row r="328" spans="9:67" customFormat="1" ht="16.5">
      <c r="I328" s="22"/>
      <c r="R328" s="22"/>
      <c r="X328" s="22"/>
      <c r="Z328" s="23"/>
      <c r="AA328" s="23"/>
      <c r="AB328" s="23"/>
      <c r="AC328" s="23"/>
      <c r="AD328" s="23"/>
      <c r="AE328" s="23"/>
      <c r="AF328" s="23"/>
      <c r="AG328" s="23"/>
      <c r="AH328" s="22"/>
      <c r="AI328" s="22"/>
      <c r="AJ328" s="22"/>
      <c r="AK328" s="22"/>
      <c r="AO328" s="23"/>
      <c r="AP328" s="23"/>
      <c r="AQ328" s="23"/>
      <c r="AS328" s="23"/>
      <c r="AT328" s="23"/>
      <c r="AV328" s="23"/>
      <c r="BB328" s="23"/>
      <c r="BI328" s="23"/>
      <c r="BJ328" s="23"/>
      <c r="BK328" s="23"/>
      <c r="BL328" s="22"/>
      <c r="BM328" s="22"/>
      <c r="BN328" s="22"/>
      <c r="BO328" s="22"/>
    </row>
    <row r="329" spans="9:67" customFormat="1" ht="16.5">
      <c r="I329" s="22"/>
      <c r="R329" s="22"/>
      <c r="X329" s="22"/>
      <c r="Z329" s="23"/>
      <c r="AA329" s="23"/>
      <c r="AB329" s="23"/>
      <c r="AC329" s="23"/>
      <c r="AD329" s="23"/>
      <c r="AE329" s="23"/>
      <c r="AF329" s="23"/>
      <c r="AG329" s="23"/>
      <c r="AH329" s="22"/>
      <c r="AI329" s="22"/>
      <c r="AJ329" s="22"/>
      <c r="AK329" s="22"/>
      <c r="AO329" s="23"/>
      <c r="AP329" s="23"/>
      <c r="AQ329" s="23"/>
      <c r="AS329" s="23"/>
      <c r="AT329" s="23"/>
      <c r="AV329" s="23"/>
      <c r="BB329" s="23"/>
      <c r="BI329" s="23"/>
      <c r="BJ329" s="23"/>
      <c r="BK329" s="23"/>
      <c r="BL329" s="22"/>
      <c r="BM329" s="22"/>
      <c r="BN329" s="22"/>
      <c r="BO329" s="22"/>
    </row>
    <row r="330" spans="9:67" customFormat="1" ht="16.5">
      <c r="I330" s="22"/>
      <c r="R330" s="22"/>
      <c r="X330" s="22"/>
      <c r="Z330" s="23"/>
      <c r="AA330" s="23"/>
      <c r="AB330" s="23"/>
      <c r="AC330" s="23"/>
      <c r="AD330" s="23"/>
      <c r="AE330" s="23"/>
      <c r="AF330" s="23"/>
      <c r="AG330" s="23"/>
      <c r="AH330" s="22"/>
      <c r="AI330" s="22"/>
      <c r="AJ330" s="22"/>
      <c r="AK330" s="22"/>
      <c r="AO330" s="23"/>
      <c r="AP330" s="23"/>
      <c r="AQ330" s="23"/>
      <c r="AS330" s="23"/>
      <c r="AT330" s="23"/>
      <c r="AV330" s="23"/>
      <c r="BB330" s="23"/>
      <c r="BI330" s="23"/>
      <c r="BJ330" s="23"/>
      <c r="BK330" s="23"/>
      <c r="BL330" s="22"/>
      <c r="BM330" s="22"/>
      <c r="BN330" s="22"/>
      <c r="BO330" s="22"/>
    </row>
    <row r="331" spans="9:67" customFormat="1" ht="16.5">
      <c r="I331" s="22"/>
      <c r="R331" s="22"/>
      <c r="X331" s="22"/>
      <c r="Z331" s="23"/>
      <c r="AA331" s="23"/>
      <c r="AB331" s="23"/>
      <c r="AC331" s="23"/>
      <c r="AD331" s="23"/>
      <c r="AE331" s="23"/>
      <c r="AF331" s="23"/>
      <c r="AG331" s="23"/>
      <c r="AH331" s="22"/>
      <c r="AI331" s="22"/>
      <c r="AJ331" s="22"/>
      <c r="AK331" s="22"/>
      <c r="AO331" s="23"/>
      <c r="AP331" s="23"/>
      <c r="AQ331" s="23"/>
      <c r="AS331" s="23"/>
      <c r="AT331" s="23"/>
      <c r="AV331" s="23"/>
      <c r="BB331" s="23"/>
      <c r="BI331" s="23"/>
      <c r="BJ331" s="23"/>
      <c r="BK331" s="23"/>
      <c r="BL331" s="22"/>
      <c r="BM331" s="22"/>
      <c r="BN331" s="22"/>
      <c r="BO331" s="22"/>
    </row>
    <row r="332" spans="9:67" customFormat="1" ht="16.5">
      <c r="I332" s="22"/>
      <c r="R332" s="22"/>
      <c r="X332" s="22"/>
      <c r="Z332" s="23"/>
      <c r="AA332" s="23"/>
      <c r="AB332" s="23"/>
      <c r="AC332" s="23"/>
      <c r="AD332" s="23"/>
      <c r="AE332" s="23"/>
      <c r="AF332" s="23"/>
      <c r="AG332" s="23"/>
      <c r="AH332" s="22"/>
      <c r="AI332" s="22"/>
      <c r="AJ332" s="22"/>
      <c r="AK332" s="22"/>
      <c r="AO332" s="23"/>
      <c r="AP332" s="23"/>
      <c r="AQ332" s="23"/>
      <c r="AS332" s="23"/>
      <c r="AT332" s="23"/>
      <c r="AV332" s="23"/>
      <c r="BB332" s="23"/>
      <c r="BI332" s="23"/>
      <c r="BJ332" s="23"/>
      <c r="BK332" s="23"/>
      <c r="BL332" s="22"/>
      <c r="BM332" s="22"/>
      <c r="BN332" s="22"/>
      <c r="BO332" s="22"/>
    </row>
    <row r="333" spans="9:67" customFormat="1" ht="16.5">
      <c r="I333" s="22"/>
      <c r="R333" s="22"/>
      <c r="X333" s="22"/>
      <c r="Z333" s="23"/>
      <c r="AA333" s="23"/>
      <c r="AB333" s="23"/>
      <c r="AC333" s="23"/>
      <c r="AD333" s="23"/>
      <c r="AE333" s="23"/>
      <c r="AF333" s="23"/>
      <c r="AG333" s="23"/>
      <c r="AH333" s="22"/>
      <c r="AI333" s="22"/>
      <c r="AJ333" s="22"/>
      <c r="AK333" s="22"/>
      <c r="AO333" s="23"/>
      <c r="AP333" s="23"/>
      <c r="AQ333" s="23"/>
      <c r="AS333" s="23"/>
      <c r="AT333" s="23"/>
      <c r="AV333" s="23"/>
      <c r="BB333" s="23"/>
      <c r="BI333" s="23"/>
      <c r="BK333" s="23"/>
      <c r="BL333" s="22"/>
      <c r="BM333" s="22"/>
      <c r="BN333" s="22"/>
      <c r="BO333" s="22"/>
    </row>
    <row r="334" spans="9:67" customFormat="1" ht="16.5">
      <c r="I334" s="22"/>
      <c r="R334" s="22"/>
      <c r="X334" s="22"/>
      <c r="Z334" s="23"/>
      <c r="AA334" s="23"/>
      <c r="AB334" s="23"/>
      <c r="AC334" s="23"/>
      <c r="AD334" s="23"/>
      <c r="AE334" s="23"/>
      <c r="AF334" s="23"/>
      <c r="AG334" s="23"/>
      <c r="AH334" s="22"/>
      <c r="AI334" s="22"/>
      <c r="AJ334" s="22"/>
      <c r="AK334" s="22"/>
      <c r="AO334" s="23"/>
      <c r="AP334" s="23"/>
      <c r="AQ334" s="23"/>
      <c r="AS334" s="23"/>
      <c r="AT334" s="23"/>
      <c r="AV334" s="23"/>
      <c r="BB334" s="23"/>
      <c r="BI334" s="23"/>
      <c r="BK334" s="23"/>
      <c r="BL334" s="22"/>
      <c r="BM334" s="22"/>
      <c r="BN334" s="22"/>
      <c r="BO334" s="22"/>
    </row>
    <row r="335" spans="9:67" customFormat="1" ht="16.5">
      <c r="I335" s="22"/>
      <c r="R335" s="22"/>
      <c r="X335" s="22"/>
      <c r="Z335" s="23"/>
      <c r="AA335" s="23"/>
      <c r="AB335" s="23"/>
      <c r="AC335" s="23"/>
      <c r="AD335" s="23"/>
      <c r="AE335" s="23"/>
      <c r="AF335" s="23"/>
      <c r="AG335" s="23"/>
      <c r="AH335" s="22"/>
      <c r="AI335" s="22"/>
      <c r="AJ335" s="22"/>
      <c r="AK335" s="22"/>
      <c r="AO335" s="23"/>
      <c r="AP335" s="23"/>
      <c r="AQ335" s="23"/>
      <c r="AS335" s="23"/>
      <c r="AT335" s="23"/>
      <c r="AV335" s="23"/>
      <c r="BB335" s="23"/>
      <c r="BI335" s="23"/>
      <c r="BK335" s="23"/>
      <c r="BL335" s="22"/>
      <c r="BM335" s="22"/>
      <c r="BN335" s="22"/>
      <c r="BO335" s="22"/>
    </row>
    <row r="336" spans="9:67" customFormat="1" ht="16.5">
      <c r="I336" s="22"/>
      <c r="R336" s="22"/>
      <c r="X336" s="22"/>
      <c r="Z336" s="23"/>
      <c r="AA336" s="23"/>
      <c r="AB336" s="23"/>
      <c r="AC336" s="23"/>
      <c r="AD336" s="23"/>
      <c r="AE336" s="23"/>
      <c r="AF336" s="23"/>
      <c r="AG336" s="23"/>
      <c r="AH336" s="22"/>
      <c r="AI336" s="22"/>
      <c r="AJ336" s="22"/>
      <c r="AK336" s="22"/>
      <c r="AO336" s="23"/>
      <c r="AP336" s="23"/>
      <c r="AQ336" s="23"/>
      <c r="AS336" s="23"/>
      <c r="AT336" s="23"/>
      <c r="AV336" s="23"/>
      <c r="BB336" s="23"/>
      <c r="BI336" s="23"/>
      <c r="BK336" s="23"/>
      <c r="BL336" s="22"/>
      <c r="BM336" s="22"/>
      <c r="BN336" s="22"/>
      <c r="BO336" s="22"/>
    </row>
    <row r="337" spans="9:67" customFormat="1" ht="16.5">
      <c r="I337" s="22"/>
      <c r="R337" s="22"/>
      <c r="X337" s="22"/>
      <c r="Z337" s="23"/>
      <c r="AA337" s="23"/>
      <c r="AB337" s="23"/>
      <c r="AC337" s="23"/>
      <c r="AD337" s="23"/>
      <c r="AE337" s="23"/>
      <c r="AF337" s="23"/>
      <c r="AG337" s="23"/>
      <c r="AH337" s="22"/>
      <c r="AI337" s="22"/>
      <c r="AJ337" s="22"/>
      <c r="AK337" s="22"/>
      <c r="AO337" s="23"/>
      <c r="AP337" s="23"/>
      <c r="AQ337" s="23"/>
      <c r="AS337" s="23"/>
      <c r="AT337" s="23"/>
      <c r="AV337" s="23"/>
      <c r="BB337" s="23"/>
      <c r="BI337" s="23"/>
      <c r="BK337" s="23"/>
      <c r="BL337" s="22"/>
      <c r="BM337" s="22"/>
      <c r="BN337" s="22"/>
      <c r="BO337" s="22"/>
    </row>
    <row r="338" spans="9:67" customFormat="1" ht="16.5">
      <c r="I338" s="22"/>
      <c r="R338" s="22"/>
      <c r="X338" s="22"/>
      <c r="Z338" s="23"/>
      <c r="AA338" s="23"/>
      <c r="AB338" s="23"/>
      <c r="AC338" s="23"/>
      <c r="AD338" s="23"/>
      <c r="AE338" s="23"/>
      <c r="AF338" s="23"/>
      <c r="AG338" s="23"/>
      <c r="AH338" s="22"/>
      <c r="AI338" s="22"/>
      <c r="AJ338" s="22"/>
      <c r="AK338" s="22"/>
      <c r="AO338" s="23"/>
      <c r="AP338" s="23"/>
      <c r="AQ338" s="23"/>
      <c r="AS338" s="23"/>
      <c r="AT338" s="23"/>
      <c r="AV338" s="23"/>
      <c r="BB338" s="23"/>
      <c r="BI338" s="23"/>
      <c r="BK338" s="23"/>
      <c r="BL338" s="22"/>
      <c r="BM338" s="22"/>
      <c r="BN338" s="22"/>
      <c r="BO338" s="22"/>
    </row>
    <row r="339" spans="9:67" customFormat="1" ht="16.5">
      <c r="I339" s="22"/>
      <c r="R339" s="22"/>
      <c r="X339" s="22"/>
      <c r="Z339" s="23"/>
      <c r="AA339" s="23"/>
      <c r="AB339" s="23"/>
      <c r="AC339" s="23"/>
      <c r="AD339" s="23"/>
      <c r="AE339" s="23"/>
      <c r="AF339" s="23"/>
      <c r="AG339" s="23"/>
      <c r="AH339" s="22"/>
      <c r="AI339" s="22"/>
      <c r="AJ339" s="22"/>
      <c r="AK339" s="22"/>
      <c r="AO339" s="23"/>
      <c r="AP339" s="23"/>
      <c r="AQ339" s="23"/>
      <c r="AS339" s="23"/>
      <c r="AT339" s="23"/>
      <c r="AV339" s="23"/>
      <c r="BB339" s="23"/>
      <c r="BI339" s="23"/>
      <c r="BK339" s="23"/>
      <c r="BL339" s="22"/>
      <c r="BM339" s="22"/>
      <c r="BN339" s="22"/>
      <c r="BO339" s="22"/>
    </row>
    <row r="340" spans="9:67" customFormat="1" ht="16.5">
      <c r="I340" s="22"/>
      <c r="R340" s="22"/>
      <c r="X340" s="22"/>
      <c r="Z340" s="23"/>
      <c r="AA340" s="23"/>
      <c r="AB340" s="23"/>
      <c r="AC340" s="23"/>
      <c r="AD340" s="23"/>
      <c r="AE340" s="23"/>
      <c r="AF340" s="23"/>
      <c r="AG340" s="23"/>
      <c r="AH340" s="22"/>
      <c r="AI340" s="22"/>
      <c r="AJ340" s="22"/>
      <c r="AK340" s="22"/>
      <c r="AO340" s="23"/>
      <c r="AP340" s="23"/>
      <c r="AQ340" s="23"/>
      <c r="AS340" s="23"/>
      <c r="AT340" s="23"/>
      <c r="AV340" s="23"/>
      <c r="BB340" s="23"/>
      <c r="BI340" s="23"/>
      <c r="BK340" s="23"/>
      <c r="BL340" s="22"/>
      <c r="BM340" s="22"/>
      <c r="BN340" s="22"/>
      <c r="BO340" s="22"/>
    </row>
    <row r="341" spans="9:67" customFormat="1" ht="16.5">
      <c r="I341" s="22"/>
      <c r="R341" s="22"/>
      <c r="X341" s="22"/>
      <c r="Z341" s="23"/>
      <c r="AA341" s="23"/>
      <c r="AB341" s="23"/>
      <c r="AC341" s="23"/>
      <c r="AD341" s="23"/>
      <c r="AE341" s="23"/>
      <c r="AF341" s="23"/>
      <c r="AG341" s="23"/>
      <c r="AH341" s="22"/>
      <c r="AI341" s="22"/>
      <c r="AJ341" s="22"/>
      <c r="AK341" s="22"/>
      <c r="AO341" s="23"/>
      <c r="AP341" s="23"/>
      <c r="AQ341" s="23"/>
      <c r="AS341" s="23"/>
      <c r="AT341" s="23"/>
      <c r="AV341" s="23"/>
      <c r="BB341" s="23"/>
      <c r="BI341" s="23"/>
      <c r="BK341" s="23"/>
      <c r="BL341" s="22"/>
      <c r="BM341" s="22"/>
      <c r="BN341" s="22"/>
      <c r="BO341" s="22"/>
    </row>
    <row r="342" spans="9:67" customFormat="1" ht="16.5">
      <c r="I342" s="22"/>
      <c r="R342" s="22"/>
      <c r="X342" s="22"/>
      <c r="Z342" s="23"/>
      <c r="AA342" s="23"/>
      <c r="AB342" s="23"/>
      <c r="AC342" s="23"/>
      <c r="AD342" s="23"/>
      <c r="AE342" s="23"/>
      <c r="AF342" s="23"/>
      <c r="AG342" s="23"/>
      <c r="AH342" s="22"/>
      <c r="AI342" s="22"/>
      <c r="AJ342" s="22"/>
      <c r="AK342" s="22"/>
      <c r="AO342" s="23"/>
      <c r="AP342" s="23"/>
      <c r="AQ342" s="23"/>
      <c r="AS342" s="23"/>
      <c r="AT342" s="23"/>
      <c r="AV342" s="23"/>
      <c r="BB342" s="23"/>
      <c r="BI342" s="23"/>
      <c r="BK342" s="23"/>
      <c r="BL342" s="22"/>
      <c r="BM342" s="22"/>
      <c r="BN342" s="22"/>
      <c r="BO342" s="22"/>
    </row>
    <row r="343" spans="9:67" customFormat="1" ht="16.5">
      <c r="I343" s="22"/>
      <c r="R343" s="22"/>
      <c r="X343" s="22"/>
      <c r="Z343" s="23"/>
      <c r="AA343" s="23"/>
      <c r="AB343" s="23"/>
      <c r="AC343" s="23"/>
      <c r="AD343" s="23"/>
      <c r="AE343" s="23"/>
      <c r="AF343" s="23"/>
      <c r="AG343" s="23"/>
      <c r="AH343" s="22"/>
      <c r="AI343" s="22"/>
      <c r="AJ343" s="22"/>
      <c r="AK343" s="22"/>
      <c r="AO343" s="23"/>
      <c r="AP343" s="23"/>
      <c r="AQ343" s="23"/>
      <c r="AS343" s="23"/>
      <c r="AT343" s="23"/>
      <c r="AV343" s="23"/>
      <c r="BB343" s="23"/>
      <c r="BI343" s="23"/>
      <c r="BK343" s="23"/>
      <c r="BL343" s="22"/>
      <c r="BM343" s="22"/>
      <c r="BN343" s="22"/>
      <c r="BO343" s="22"/>
    </row>
    <row r="344" spans="9:67" customFormat="1" ht="16.5">
      <c r="I344" s="22"/>
      <c r="R344" s="22"/>
      <c r="X344" s="22"/>
      <c r="Z344" s="23"/>
      <c r="AA344" s="23"/>
      <c r="AB344" s="23"/>
      <c r="AC344" s="23"/>
      <c r="AD344" s="23"/>
      <c r="AE344" s="23"/>
      <c r="AF344" s="23"/>
      <c r="AG344" s="23"/>
      <c r="AH344" s="22"/>
      <c r="AI344" s="22"/>
      <c r="AJ344" s="22"/>
      <c r="AK344" s="22"/>
      <c r="AO344" s="23"/>
      <c r="AP344" s="23"/>
      <c r="AQ344" s="23"/>
      <c r="AS344" s="23"/>
      <c r="AT344" s="23"/>
      <c r="AV344" s="23"/>
      <c r="BB344" s="23"/>
      <c r="BI344" s="23"/>
      <c r="BK344" s="23"/>
      <c r="BL344" s="22"/>
      <c r="BM344" s="22"/>
      <c r="BN344" s="22"/>
      <c r="BO344" s="22"/>
    </row>
    <row r="345" spans="9:67" customFormat="1" ht="16.5">
      <c r="I345" s="22"/>
      <c r="R345" s="22"/>
      <c r="X345" s="22"/>
      <c r="Z345" s="23"/>
      <c r="AA345" s="23"/>
      <c r="AB345" s="23"/>
      <c r="AC345" s="23"/>
      <c r="AD345" s="23"/>
      <c r="AE345" s="23"/>
      <c r="AF345" s="23"/>
      <c r="AG345" s="23"/>
      <c r="AH345" s="22"/>
      <c r="AI345" s="22"/>
      <c r="AJ345" s="22"/>
      <c r="AK345" s="22"/>
      <c r="AO345" s="23"/>
      <c r="AP345" s="23"/>
      <c r="AQ345" s="23"/>
      <c r="AS345" s="23"/>
      <c r="AT345" s="23"/>
      <c r="AV345" s="23"/>
      <c r="BB345" s="23"/>
      <c r="BI345" s="23"/>
      <c r="BK345" s="23"/>
      <c r="BL345" s="22"/>
      <c r="BM345" s="22"/>
      <c r="BN345" s="22"/>
      <c r="BO345" s="22"/>
    </row>
    <row r="346" spans="9:67" customFormat="1" ht="16.5">
      <c r="I346" s="22"/>
      <c r="R346" s="22"/>
      <c r="X346" s="22"/>
      <c r="Z346" s="23"/>
      <c r="AA346" s="23"/>
      <c r="AB346" s="23"/>
      <c r="AC346" s="23"/>
      <c r="AD346" s="23"/>
      <c r="AE346" s="23"/>
      <c r="AF346" s="23"/>
      <c r="AG346" s="23"/>
      <c r="AH346" s="22"/>
      <c r="AI346" s="22"/>
      <c r="AJ346" s="22"/>
      <c r="AK346" s="22"/>
      <c r="AO346" s="23"/>
      <c r="AP346" s="23"/>
      <c r="AQ346" s="23"/>
      <c r="AS346" s="23"/>
      <c r="AT346" s="23"/>
      <c r="AV346" s="23"/>
      <c r="BB346" s="23"/>
      <c r="BI346" s="23"/>
      <c r="BK346" s="23"/>
      <c r="BL346" s="22"/>
      <c r="BM346" s="22"/>
      <c r="BN346" s="22"/>
      <c r="BO346" s="22"/>
    </row>
    <row r="347" spans="9:67" customFormat="1" ht="16.5">
      <c r="I347" s="22"/>
      <c r="R347" s="22"/>
      <c r="X347" s="22"/>
      <c r="Z347" s="23"/>
      <c r="AA347" s="23"/>
      <c r="AB347" s="23"/>
      <c r="AC347" s="23"/>
      <c r="AD347" s="23"/>
      <c r="AE347" s="23"/>
      <c r="AF347" s="23"/>
      <c r="AG347" s="23"/>
      <c r="AH347" s="22"/>
      <c r="AI347" s="22"/>
      <c r="AJ347" s="22"/>
      <c r="AK347" s="22"/>
      <c r="AO347" s="23"/>
      <c r="AP347" s="23"/>
      <c r="AQ347" s="23"/>
      <c r="AS347" s="23"/>
      <c r="AT347" s="23"/>
      <c r="AV347" s="23"/>
      <c r="BB347" s="23"/>
      <c r="BI347" s="23"/>
      <c r="BK347" s="23"/>
      <c r="BL347" s="22"/>
      <c r="BM347" s="22"/>
      <c r="BN347" s="22"/>
      <c r="BO347" s="22"/>
    </row>
    <row r="348" spans="9:67" customFormat="1" ht="16.5">
      <c r="I348" s="22"/>
      <c r="R348" s="22"/>
      <c r="X348" s="22"/>
      <c r="Z348" s="23"/>
      <c r="AA348" s="23"/>
      <c r="AB348" s="23"/>
      <c r="AC348" s="23"/>
      <c r="AD348" s="23"/>
      <c r="AE348" s="23"/>
      <c r="AF348" s="23"/>
      <c r="AG348" s="23"/>
      <c r="AH348" s="22"/>
      <c r="AI348" s="22"/>
      <c r="AJ348" s="22"/>
      <c r="AK348" s="22"/>
      <c r="AO348" s="23"/>
      <c r="AP348" s="23"/>
      <c r="AQ348" s="23"/>
      <c r="AS348" s="23"/>
      <c r="AT348" s="23"/>
      <c r="AV348" s="23"/>
      <c r="BB348" s="23"/>
      <c r="BI348" s="23"/>
      <c r="BK348" s="23"/>
      <c r="BL348" s="22"/>
      <c r="BM348" s="22"/>
      <c r="BN348" s="22"/>
      <c r="BO348" s="22"/>
    </row>
    <row r="349" spans="9:67" customFormat="1" ht="16.5">
      <c r="I349" s="22"/>
      <c r="R349" s="22"/>
      <c r="X349" s="22"/>
      <c r="Z349" s="23"/>
      <c r="AA349" s="23"/>
      <c r="AB349" s="23"/>
      <c r="AC349" s="23"/>
      <c r="AD349" s="23"/>
      <c r="AE349" s="23"/>
      <c r="AF349" s="23"/>
      <c r="AG349" s="23"/>
      <c r="AH349" s="22"/>
      <c r="AI349" s="22"/>
      <c r="AJ349" s="22"/>
      <c r="AK349" s="22"/>
      <c r="AO349" s="23"/>
      <c r="AP349" s="23"/>
      <c r="AQ349" s="23"/>
      <c r="AS349" s="23"/>
      <c r="AT349" s="23"/>
      <c r="AV349" s="23"/>
      <c r="BB349" s="23"/>
      <c r="BI349" s="23"/>
      <c r="BK349" s="23"/>
      <c r="BL349" s="22"/>
      <c r="BM349" s="22"/>
      <c r="BN349" s="22"/>
      <c r="BO349" s="22"/>
    </row>
    <row r="350" spans="9:67" customFormat="1" ht="16.5">
      <c r="I350" s="22"/>
      <c r="R350" s="22"/>
      <c r="X350" s="22"/>
      <c r="Z350" s="23"/>
      <c r="AA350" s="23"/>
      <c r="AB350" s="23"/>
      <c r="AC350" s="23"/>
      <c r="AD350" s="23"/>
      <c r="AE350" s="23"/>
      <c r="AF350" s="23"/>
      <c r="AG350" s="23"/>
      <c r="AH350" s="22"/>
      <c r="AI350" s="22"/>
      <c r="AJ350" s="22"/>
      <c r="AK350" s="22"/>
      <c r="AO350" s="23"/>
      <c r="AP350" s="23"/>
      <c r="AQ350" s="23"/>
      <c r="AS350" s="23"/>
      <c r="AT350" s="23"/>
      <c r="AV350" s="23"/>
      <c r="BB350" s="23"/>
      <c r="BI350" s="23"/>
      <c r="BK350" s="23"/>
      <c r="BL350" s="22"/>
      <c r="BM350" s="22"/>
      <c r="BN350" s="22"/>
      <c r="BO350" s="22"/>
    </row>
    <row r="351" spans="9:67" customFormat="1" ht="16.5">
      <c r="I351" s="22"/>
      <c r="R351" s="22"/>
      <c r="X351" s="22"/>
      <c r="Z351" s="23"/>
      <c r="AA351" s="23"/>
      <c r="AB351" s="23"/>
      <c r="AC351" s="23"/>
      <c r="AD351" s="23"/>
      <c r="AE351" s="23"/>
      <c r="AF351" s="23"/>
      <c r="AG351" s="23"/>
      <c r="AH351" s="22"/>
      <c r="AI351" s="22"/>
      <c r="AJ351" s="22"/>
      <c r="AK351" s="22"/>
      <c r="AO351" s="23"/>
      <c r="AP351" s="23"/>
      <c r="AQ351" s="23"/>
      <c r="AS351" s="23"/>
      <c r="AT351" s="23"/>
      <c r="AV351" s="23"/>
      <c r="BB351" s="23"/>
      <c r="BI351" s="23"/>
      <c r="BK351" s="23"/>
      <c r="BL351" s="22"/>
      <c r="BM351" s="22"/>
      <c r="BN351" s="22"/>
      <c r="BO351" s="22"/>
    </row>
    <row r="352" spans="9:67" customFormat="1" ht="16.5">
      <c r="I352" s="22"/>
      <c r="R352" s="22"/>
      <c r="X352" s="22"/>
      <c r="Z352" s="23"/>
      <c r="AA352" s="23"/>
      <c r="AB352" s="23"/>
      <c r="AC352" s="23"/>
      <c r="AD352" s="23"/>
      <c r="AE352" s="23"/>
      <c r="AF352" s="23"/>
      <c r="AG352" s="23"/>
      <c r="AH352" s="22"/>
      <c r="AI352" s="22"/>
      <c r="AJ352" s="22"/>
      <c r="AK352" s="22"/>
      <c r="AO352" s="23"/>
      <c r="AP352" s="23"/>
      <c r="AQ352" s="23"/>
      <c r="AS352" s="23"/>
      <c r="AT352" s="23"/>
      <c r="AV352" s="23"/>
      <c r="BB352" s="23"/>
      <c r="BI352" s="23"/>
      <c r="BK352" s="23"/>
      <c r="BL352" s="22"/>
      <c r="BM352" s="22"/>
      <c r="BN352" s="22"/>
      <c r="BO352" s="22"/>
    </row>
    <row r="353" spans="9:67" customFormat="1" ht="16.5">
      <c r="I353" s="22"/>
      <c r="R353" s="22"/>
      <c r="X353" s="22"/>
      <c r="Z353" s="23"/>
      <c r="AA353" s="23"/>
      <c r="AB353" s="23"/>
      <c r="AC353" s="23"/>
      <c r="AD353" s="23"/>
      <c r="AE353" s="23"/>
      <c r="AF353" s="23"/>
      <c r="AG353" s="23"/>
      <c r="AH353" s="22"/>
      <c r="AI353" s="22"/>
      <c r="AJ353" s="22"/>
      <c r="AK353" s="22"/>
      <c r="AO353" s="23"/>
      <c r="AP353" s="23"/>
      <c r="AQ353" s="23"/>
      <c r="AS353" s="23"/>
      <c r="AT353" s="23"/>
      <c r="AV353" s="23"/>
      <c r="BB353" s="23"/>
      <c r="BI353" s="23"/>
      <c r="BK353" s="23"/>
      <c r="BL353" s="22"/>
      <c r="BM353" s="22"/>
      <c r="BN353" s="22"/>
      <c r="BO353" s="22"/>
    </row>
    <row r="354" spans="9:67" customFormat="1" ht="16.5">
      <c r="I354" s="22"/>
      <c r="R354" s="22"/>
      <c r="X354" s="22"/>
      <c r="Z354" s="23"/>
      <c r="AA354" s="23"/>
      <c r="AB354" s="23"/>
      <c r="AC354" s="23"/>
      <c r="AD354" s="23"/>
      <c r="AE354" s="23"/>
      <c r="AF354" s="23"/>
      <c r="AG354" s="23"/>
      <c r="AH354" s="22"/>
      <c r="AI354" s="22"/>
      <c r="AJ354" s="22"/>
      <c r="AK354" s="22"/>
      <c r="AO354" s="23"/>
      <c r="AP354" s="23"/>
      <c r="AQ354" s="23"/>
      <c r="AS354" s="23"/>
      <c r="AT354" s="23"/>
      <c r="AV354" s="23"/>
      <c r="BB354" s="23"/>
      <c r="BI354" s="23"/>
      <c r="BK354" s="23"/>
      <c r="BL354" s="22"/>
      <c r="BM354" s="22"/>
      <c r="BN354" s="22"/>
      <c r="BO354" s="22"/>
    </row>
    <row r="355" spans="9:67" customFormat="1" ht="16.5">
      <c r="I355" s="22"/>
      <c r="R355" s="22"/>
      <c r="X355" s="22"/>
      <c r="Z355" s="23"/>
      <c r="AA355" s="23"/>
      <c r="AB355" s="23"/>
      <c r="AC355" s="23"/>
      <c r="AD355" s="23"/>
      <c r="AE355" s="23"/>
      <c r="AF355" s="23"/>
      <c r="AG355" s="23"/>
      <c r="AH355" s="22"/>
      <c r="AI355" s="22"/>
      <c r="AJ355" s="22"/>
      <c r="AK355" s="22"/>
      <c r="AO355" s="23"/>
      <c r="AP355" s="23"/>
      <c r="AQ355" s="23"/>
      <c r="AS355" s="23"/>
      <c r="AT355" s="23"/>
      <c r="AV355" s="23"/>
      <c r="BB355" s="23"/>
      <c r="BI355" s="23"/>
      <c r="BK355" s="23"/>
      <c r="BL355" s="22"/>
      <c r="BM355" s="22"/>
      <c r="BN355" s="22"/>
      <c r="BO355" s="22"/>
    </row>
    <row r="356" spans="9:67" customFormat="1" ht="16.5">
      <c r="I356" s="22"/>
      <c r="R356" s="22"/>
      <c r="X356" s="22"/>
      <c r="Z356" s="23"/>
      <c r="AA356" s="23"/>
      <c r="AB356" s="23"/>
      <c r="AC356" s="23"/>
      <c r="AD356" s="23"/>
      <c r="AE356" s="23"/>
      <c r="AF356" s="23"/>
      <c r="AG356" s="23"/>
      <c r="AH356" s="22"/>
      <c r="AI356" s="22"/>
      <c r="AJ356" s="22"/>
      <c r="AK356" s="22"/>
      <c r="AO356" s="23"/>
      <c r="AP356" s="23"/>
      <c r="AQ356" s="23"/>
      <c r="AS356" s="23"/>
      <c r="AT356" s="23"/>
      <c r="AV356" s="23"/>
      <c r="BB356" s="23"/>
      <c r="BI356" s="23"/>
      <c r="BK356" s="23"/>
      <c r="BL356" s="22"/>
      <c r="BM356" s="22"/>
      <c r="BN356" s="22"/>
      <c r="BO356" s="22"/>
    </row>
    <row r="357" spans="9:67" customFormat="1" ht="16.5">
      <c r="I357" s="22"/>
      <c r="R357" s="22"/>
      <c r="X357" s="22"/>
      <c r="Z357" s="23"/>
      <c r="AA357" s="23"/>
      <c r="AB357" s="23"/>
      <c r="AC357" s="23"/>
      <c r="AD357" s="23"/>
      <c r="AE357" s="23"/>
      <c r="AF357" s="23"/>
      <c r="AG357" s="23"/>
      <c r="AH357" s="22"/>
      <c r="AI357" s="22"/>
      <c r="AJ357" s="22"/>
      <c r="AK357" s="22"/>
      <c r="AO357" s="23"/>
      <c r="AP357" s="23"/>
      <c r="AQ357" s="23"/>
      <c r="AS357" s="23"/>
      <c r="AT357" s="23"/>
      <c r="AV357" s="23"/>
      <c r="BI357" s="23"/>
      <c r="BK357" s="23"/>
      <c r="BL357" s="22"/>
      <c r="BM357" s="22"/>
      <c r="BN357" s="22"/>
      <c r="BO357" s="22"/>
    </row>
    <row r="358" spans="9:67" customFormat="1" ht="16.5">
      <c r="I358" s="22"/>
      <c r="R358" s="22"/>
      <c r="X358" s="22"/>
      <c r="Z358" s="23"/>
      <c r="AA358" s="23"/>
      <c r="AB358" s="23"/>
      <c r="AC358" s="23"/>
      <c r="AD358" s="23"/>
      <c r="AE358" s="23"/>
      <c r="AF358" s="23"/>
      <c r="AG358" s="23"/>
      <c r="AH358" s="22"/>
      <c r="AI358" s="22"/>
      <c r="AJ358" s="22"/>
      <c r="AK358" s="22"/>
      <c r="AO358" s="23"/>
      <c r="AP358" s="23"/>
      <c r="AQ358" s="23"/>
      <c r="AS358" s="23"/>
      <c r="AT358" s="23"/>
      <c r="AV358" s="23"/>
      <c r="BB358" s="23"/>
      <c r="BI358" s="23"/>
      <c r="BK358" s="23"/>
      <c r="BL358" s="22"/>
      <c r="BM358" s="22"/>
      <c r="BN358" s="22"/>
      <c r="BO358" s="22"/>
    </row>
    <row r="359" spans="9:67" customFormat="1" ht="16.5">
      <c r="I359" s="22"/>
      <c r="R359" s="22"/>
      <c r="X359" s="22"/>
      <c r="Z359" s="23"/>
      <c r="AA359" s="23"/>
      <c r="AB359" s="23"/>
      <c r="AC359" s="23"/>
      <c r="AD359" s="23"/>
      <c r="AE359" s="23"/>
      <c r="AF359" s="23"/>
      <c r="AG359" s="23"/>
      <c r="AH359" s="22"/>
      <c r="AI359" s="22"/>
      <c r="AJ359" s="22"/>
      <c r="AK359" s="22"/>
      <c r="AO359" s="23"/>
      <c r="AP359" s="23"/>
      <c r="AQ359" s="23"/>
      <c r="AS359" s="23"/>
      <c r="AT359" s="23"/>
      <c r="AV359" s="23"/>
      <c r="BB359" s="23"/>
      <c r="BI359" s="23"/>
      <c r="BK359" s="23"/>
      <c r="BL359" s="22"/>
      <c r="BM359" s="22"/>
      <c r="BN359" s="22"/>
      <c r="BO359" s="22"/>
    </row>
    <row r="360" spans="9:67" customFormat="1" ht="16.5">
      <c r="I360" s="22"/>
      <c r="R360" s="22"/>
      <c r="X360" s="22"/>
      <c r="Z360" s="23"/>
      <c r="AA360" s="23"/>
      <c r="AB360" s="23"/>
      <c r="AC360" s="23"/>
      <c r="AD360" s="23"/>
      <c r="AE360" s="23"/>
      <c r="AF360" s="23"/>
      <c r="AG360" s="23"/>
      <c r="AH360" s="22"/>
      <c r="AI360" s="22"/>
      <c r="AJ360" s="22"/>
      <c r="AK360" s="22"/>
      <c r="AO360" s="23"/>
      <c r="AP360" s="23"/>
      <c r="AQ360" s="23"/>
      <c r="AS360" s="23"/>
      <c r="AT360" s="23"/>
      <c r="AV360" s="23"/>
      <c r="BB360" s="23"/>
      <c r="BI360" s="23"/>
      <c r="BK360" s="23"/>
      <c r="BL360" s="22"/>
      <c r="BM360" s="22"/>
      <c r="BN360" s="22"/>
      <c r="BO360" s="22"/>
    </row>
    <row r="361" spans="9:67" customFormat="1" ht="16.5">
      <c r="I361" s="22"/>
      <c r="R361" s="22"/>
      <c r="X361" s="22"/>
      <c r="Z361" s="23"/>
      <c r="AA361" s="23"/>
      <c r="AB361" s="23"/>
      <c r="AC361" s="23"/>
      <c r="AD361" s="23"/>
      <c r="AE361" s="23"/>
      <c r="AF361" s="23"/>
      <c r="AG361" s="23"/>
      <c r="AH361" s="22"/>
      <c r="AI361" s="22"/>
      <c r="AJ361" s="22"/>
      <c r="AK361" s="22"/>
      <c r="AO361" s="23"/>
      <c r="AP361" s="23"/>
      <c r="AQ361" s="23"/>
      <c r="AS361" s="23"/>
      <c r="AT361" s="23"/>
      <c r="AV361" s="23"/>
      <c r="BB361" s="23"/>
      <c r="BI361" s="23"/>
      <c r="BK361" s="23"/>
      <c r="BL361" s="22"/>
      <c r="BM361" s="22"/>
      <c r="BN361" s="22"/>
      <c r="BO361" s="22"/>
    </row>
    <row r="362" spans="9:67" customFormat="1" ht="16.5">
      <c r="I362" s="22"/>
      <c r="R362" s="22"/>
      <c r="X362" s="22"/>
      <c r="Z362" s="23"/>
      <c r="AA362" s="23"/>
      <c r="AB362" s="23"/>
      <c r="AC362" s="23"/>
      <c r="AD362" s="23"/>
      <c r="AE362" s="23"/>
      <c r="AF362" s="23"/>
      <c r="AG362" s="23"/>
      <c r="AH362" s="22"/>
      <c r="AI362" s="22"/>
      <c r="AJ362" s="22"/>
      <c r="AK362" s="22"/>
      <c r="AO362" s="23"/>
      <c r="AP362" s="23"/>
      <c r="AQ362" s="23"/>
      <c r="AS362" s="23"/>
      <c r="AT362" s="23"/>
      <c r="BI362" s="23"/>
      <c r="BK362" s="23"/>
      <c r="BL362" s="22"/>
      <c r="BM362" s="22"/>
      <c r="BN362" s="22"/>
      <c r="BO362" s="22"/>
    </row>
    <row r="363" spans="9:67" customFormat="1" ht="16.5">
      <c r="I363" s="22"/>
      <c r="R363" s="22"/>
      <c r="X363" s="22"/>
      <c r="Z363" s="23"/>
      <c r="AA363" s="23"/>
      <c r="AB363" s="23"/>
      <c r="AC363" s="23"/>
      <c r="AD363" s="23"/>
      <c r="AE363" s="23"/>
      <c r="AF363" s="23"/>
      <c r="AG363" s="23"/>
      <c r="AH363" s="22"/>
      <c r="AI363" s="22"/>
      <c r="AJ363" s="22"/>
      <c r="AK363" s="22"/>
      <c r="AO363" s="23"/>
      <c r="AP363" s="23"/>
      <c r="AQ363" s="23"/>
      <c r="AS363" s="23"/>
      <c r="AT363" s="23"/>
      <c r="BI363" s="23"/>
      <c r="BK363" s="23"/>
      <c r="BL363" s="22"/>
      <c r="BM363" s="22"/>
      <c r="BN363" s="22"/>
      <c r="BO363" s="22"/>
    </row>
    <row r="364" spans="9:67" customFormat="1" ht="16.5">
      <c r="I364" s="22"/>
      <c r="R364" s="22"/>
      <c r="X364" s="22"/>
      <c r="Z364" s="23"/>
      <c r="AA364" s="23"/>
      <c r="AB364" s="23"/>
      <c r="AC364" s="23"/>
      <c r="AD364" s="23"/>
      <c r="AE364" s="23"/>
      <c r="AF364" s="23"/>
      <c r="AG364" s="23"/>
      <c r="AH364" s="22"/>
      <c r="AI364" s="22"/>
      <c r="AJ364" s="22"/>
      <c r="AK364" s="22"/>
      <c r="AO364" s="23"/>
      <c r="AP364" s="23"/>
      <c r="AQ364" s="23"/>
      <c r="AS364" s="23"/>
      <c r="AT364" s="23"/>
      <c r="BI364" s="23"/>
      <c r="BK364" s="23"/>
      <c r="BL364" s="22"/>
      <c r="BM364" s="22"/>
      <c r="BN364" s="22"/>
      <c r="BO364" s="22"/>
    </row>
    <row r="365" spans="9:67" customFormat="1" ht="16.5">
      <c r="I365" s="22"/>
      <c r="R365" s="22"/>
      <c r="X365" s="22"/>
      <c r="Z365" s="23"/>
      <c r="AA365" s="23"/>
      <c r="AB365" s="23"/>
      <c r="AC365" s="23"/>
      <c r="AD365" s="23"/>
      <c r="AE365" s="23"/>
      <c r="AF365" s="23"/>
      <c r="AG365" s="23"/>
      <c r="AH365" s="22"/>
      <c r="AI365" s="22"/>
      <c r="AJ365" s="22"/>
      <c r="AK365" s="22"/>
      <c r="AO365" s="23"/>
      <c r="AP365" s="23"/>
      <c r="AQ365" s="23"/>
      <c r="AS365" s="23"/>
      <c r="AT365" s="23"/>
      <c r="BI365" s="23"/>
      <c r="BK365" s="23"/>
      <c r="BL365" s="22"/>
      <c r="BM365" s="22"/>
      <c r="BN365" s="22"/>
      <c r="BO365" s="22"/>
    </row>
    <row r="366" spans="9:67" customFormat="1" ht="16.5">
      <c r="I366" s="22"/>
      <c r="R366" s="22"/>
      <c r="X366" s="22"/>
      <c r="Z366" s="23"/>
      <c r="AA366" s="23"/>
      <c r="AB366" s="23"/>
      <c r="AC366" s="23"/>
      <c r="AD366" s="23"/>
      <c r="AE366" s="23"/>
      <c r="AF366" s="23"/>
      <c r="AG366" s="23"/>
      <c r="AH366" s="22"/>
      <c r="AI366" s="22"/>
      <c r="AJ366" s="22"/>
      <c r="AK366" s="22"/>
      <c r="AO366" s="23"/>
      <c r="AP366" s="23"/>
      <c r="AQ366" s="23"/>
      <c r="AS366" s="23"/>
      <c r="AT366" s="23"/>
      <c r="BI366" s="23"/>
      <c r="BK366" s="23"/>
      <c r="BL366" s="22"/>
      <c r="BM366" s="22"/>
      <c r="BN366" s="22"/>
      <c r="BO366" s="22"/>
    </row>
    <row r="367" spans="9:67" customFormat="1" ht="16.5">
      <c r="I367" s="22"/>
      <c r="R367" s="22"/>
      <c r="X367" s="22"/>
      <c r="Z367" s="23"/>
      <c r="AA367" s="23"/>
      <c r="AB367" s="23"/>
      <c r="AC367" s="23"/>
      <c r="AD367" s="23"/>
      <c r="AE367" s="23"/>
      <c r="AF367" s="23"/>
      <c r="AG367" s="23"/>
      <c r="AH367" s="22"/>
      <c r="AI367" s="22"/>
      <c r="AJ367" s="22"/>
      <c r="AK367" s="22"/>
      <c r="AO367" s="23"/>
      <c r="AP367" s="23"/>
      <c r="AQ367" s="23"/>
      <c r="AS367" s="23"/>
      <c r="AT367" s="23"/>
      <c r="BI367" s="23"/>
      <c r="BK367" s="23"/>
      <c r="BL367" s="22"/>
      <c r="BM367" s="22"/>
      <c r="BN367" s="22"/>
      <c r="BO367" s="22"/>
    </row>
    <row r="368" spans="9:67" customFormat="1" ht="16.5">
      <c r="I368" s="22"/>
      <c r="R368" s="22"/>
      <c r="X368" s="22"/>
      <c r="Z368" s="23"/>
      <c r="AA368" s="23"/>
      <c r="AB368" s="23"/>
      <c r="AC368" s="23"/>
      <c r="AD368" s="23"/>
      <c r="AE368" s="23"/>
      <c r="AF368" s="23"/>
      <c r="AG368" s="23"/>
      <c r="AH368" s="22"/>
      <c r="AI368" s="22"/>
      <c r="AJ368" s="22"/>
      <c r="AK368" s="22"/>
      <c r="AO368" s="23"/>
      <c r="AP368" s="23"/>
      <c r="AQ368" s="23"/>
      <c r="AS368" s="23"/>
      <c r="AT368" s="23"/>
      <c r="BI368" s="23"/>
      <c r="BK368" s="23"/>
      <c r="BL368" s="22"/>
      <c r="BM368" s="22"/>
      <c r="BN368" s="22"/>
      <c r="BO368" s="22"/>
    </row>
    <row r="369" spans="9:67" customFormat="1" ht="16.5">
      <c r="I369" s="22"/>
      <c r="R369" s="22"/>
      <c r="X369" s="22"/>
      <c r="Z369" s="23"/>
      <c r="AA369" s="23"/>
      <c r="AB369" s="23"/>
      <c r="AC369" s="23"/>
      <c r="AD369" s="23"/>
      <c r="AE369" s="23"/>
      <c r="AF369" s="23"/>
      <c r="AG369" s="23"/>
      <c r="AH369" s="22"/>
      <c r="AI369" s="22"/>
      <c r="AJ369" s="22"/>
      <c r="AK369" s="22"/>
      <c r="AO369" s="23"/>
      <c r="AP369" s="23"/>
      <c r="AQ369" s="23"/>
      <c r="AS369" s="23"/>
      <c r="AT369" s="23"/>
      <c r="BI369" s="23"/>
      <c r="BK369" s="23"/>
      <c r="BL369" s="22"/>
      <c r="BM369" s="22"/>
      <c r="BN369" s="22"/>
      <c r="BO369" s="22"/>
    </row>
    <row r="370" spans="9:67" customFormat="1" ht="16.5">
      <c r="I370" s="22"/>
      <c r="R370" s="22"/>
      <c r="X370" s="22"/>
      <c r="Z370" s="23"/>
      <c r="AA370" s="23"/>
      <c r="AB370" s="23"/>
      <c r="AC370" s="23"/>
      <c r="AD370" s="23"/>
      <c r="AE370" s="23"/>
      <c r="AF370" s="23"/>
      <c r="AG370" s="23"/>
      <c r="AH370" s="22"/>
      <c r="AI370" s="22"/>
      <c r="AJ370" s="22"/>
      <c r="AK370" s="22"/>
      <c r="AO370" s="23"/>
      <c r="AP370" s="23"/>
      <c r="AQ370" s="23"/>
      <c r="AS370" s="23"/>
      <c r="AT370" s="23"/>
      <c r="BI370" s="23"/>
      <c r="BK370" s="23"/>
      <c r="BL370" s="22"/>
      <c r="BM370" s="22"/>
      <c r="BN370" s="22"/>
      <c r="BO370" s="22"/>
    </row>
    <row r="371" spans="9:67" customFormat="1" ht="16.5">
      <c r="I371" s="22"/>
      <c r="R371" s="22"/>
      <c r="X371" s="22"/>
      <c r="Z371" s="23"/>
      <c r="AA371" s="23"/>
      <c r="AB371" s="23"/>
      <c r="AC371" s="23"/>
      <c r="AD371" s="23"/>
      <c r="AE371" s="23"/>
      <c r="AF371" s="23"/>
      <c r="AG371" s="23"/>
      <c r="AH371" s="22"/>
      <c r="AI371" s="22"/>
      <c r="AJ371" s="22"/>
      <c r="AK371" s="22"/>
      <c r="AO371" s="23"/>
      <c r="AP371" s="23"/>
      <c r="AQ371" s="23"/>
      <c r="AS371" s="23"/>
      <c r="AT371" s="23"/>
      <c r="BI371" s="23"/>
      <c r="BK371" s="23"/>
      <c r="BL371" s="22"/>
      <c r="BM371" s="22"/>
      <c r="BN371" s="22"/>
      <c r="BO371" s="22"/>
    </row>
    <row r="372" spans="9:67" customFormat="1" ht="16.5">
      <c r="I372" s="22"/>
      <c r="R372" s="22"/>
      <c r="X372" s="22"/>
      <c r="Z372" s="23"/>
      <c r="AA372" s="23"/>
      <c r="AB372" s="23"/>
      <c r="AC372" s="23"/>
      <c r="AD372" s="23"/>
      <c r="AE372" s="23"/>
      <c r="AF372" s="23"/>
      <c r="AG372" s="23"/>
      <c r="AH372" s="22"/>
      <c r="AI372" s="22"/>
      <c r="AJ372" s="22"/>
      <c r="AK372" s="22"/>
      <c r="AO372" s="23"/>
      <c r="AP372" s="23"/>
      <c r="AQ372" s="23"/>
      <c r="AS372" s="23"/>
      <c r="AT372" s="23"/>
      <c r="BI372" s="23"/>
      <c r="BK372" s="23"/>
      <c r="BL372" s="22"/>
      <c r="BM372" s="22"/>
      <c r="BN372" s="22"/>
      <c r="BO372" s="22"/>
    </row>
    <row r="373" spans="9:67" customFormat="1" ht="16.5">
      <c r="I373" s="22"/>
      <c r="R373" s="22"/>
      <c r="X373" s="22"/>
      <c r="Z373" s="23"/>
      <c r="AA373" s="23"/>
      <c r="AB373" s="23"/>
      <c r="AC373" s="23"/>
      <c r="AD373" s="23"/>
      <c r="AE373" s="23"/>
      <c r="AF373" s="23"/>
      <c r="AG373" s="23"/>
      <c r="AH373" s="22"/>
      <c r="AI373" s="22"/>
      <c r="AJ373" s="22"/>
      <c r="AK373" s="22"/>
      <c r="AO373" s="23"/>
      <c r="AP373" s="23"/>
      <c r="AQ373" s="23"/>
      <c r="AS373" s="23"/>
      <c r="AT373" s="23"/>
      <c r="BI373" s="23"/>
      <c r="BK373" s="23"/>
      <c r="BL373" s="22"/>
      <c r="BM373" s="22"/>
      <c r="BN373" s="22"/>
      <c r="BO373" s="22"/>
    </row>
    <row r="374" spans="9:67" customFormat="1" ht="16.5">
      <c r="I374" s="22"/>
      <c r="R374" s="22"/>
      <c r="X374" s="22"/>
      <c r="Z374" s="23"/>
      <c r="AA374" s="23"/>
      <c r="AB374" s="23"/>
      <c r="AC374" s="23"/>
      <c r="AD374" s="23"/>
      <c r="AE374" s="23"/>
      <c r="AF374" s="23"/>
      <c r="AG374" s="23"/>
      <c r="AH374" s="22"/>
      <c r="AI374" s="22"/>
      <c r="AJ374" s="22"/>
      <c r="AK374" s="22"/>
      <c r="AO374" s="23"/>
      <c r="AP374" s="23"/>
      <c r="AQ374" s="23"/>
      <c r="AS374" s="23"/>
      <c r="AT374" s="23"/>
      <c r="BI374" s="23"/>
      <c r="BK374" s="23"/>
      <c r="BL374" s="22"/>
      <c r="BM374" s="22"/>
      <c r="BN374" s="22"/>
      <c r="BO374" s="22"/>
    </row>
    <row r="375" spans="9:67" customFormat="1" ht="16.5">
      <c r="I375" s="22"/>
      <c r="R375" s="22"/>
      <c r="X375" s="22"/>
      <c r="Z375" s="23"/>
      <c r="AA375" s="23"/>
      <c r="AB375" s="23"/>
      <c r="AC375" s="23"/>
      <c r="AD375" s="23"/>
      <c r="AE375" s="23"/>
      <c r="AF375" s="23"/>
      <c r="AG375" s="23"/>
      <c r="AH375" s="22"/>
      <c r="AI375" s="22"/>
      <c r="AJ375" s="22"/>
      <c r="AK375" s="22"/>
      <c r="AO375" s="23"/>
      <c r="AP375" s="23"/>
      <c r="AQ375" s="23"/>
      <c r="AS375" s="23"/>
      <c r="AT375" s="23"/>
      <c r="BI375" s="23"/>
      <c r="BK375" s="23"/>
      <c r="BL375" s="22"/>
      <c r="BM375" s="22"/>
      <c r="BN375" s="22"/>
      <c r="BO375" s="22"/>
    </row>
    <row r="376" spans="9:67" customFormat="1" ht="16.5">
      <c r="I376" s="22"/>
      <c r="R376" s="22"/>
      <c r="X376" s="22"/>
      <c r="Z376" s="23"/>
      <c r="AA376" s="23"/>
      <c r="AB376" s="23"/>
      <c r="AC376" s="23"/>
      <c r="AD376" s="23"/>
      <c r="AE376" s="23"/>
      <c r="AF376" s="23"/>
      <c r="AG376" s="23"/>
      <c r="AH376" s="22"/>
      <c r="AI376" s="22"/>
      <c r="AJ376" s="22"/>
      <c r="AK376" s="22"/>
      <c r="AO376" s="23"/>
      <c r="AP376" s="23"/>
      <c r="AQ376" s="23"/>
      <c r="AS376" s="23"/>
      <c r="AT376" s="23"/>
      <c r="BI376" s="23"/>
      <c r="BK376" s="23"/>
      <c r="BL376" s="22"/>
      <c r="BM376" s="22"/>
      <c r="BN376" s="22"/>
      <c r="BO376" s="22"/>
    </row>
    <row r="377" spans="9:67" customFormat="1" ht="16.5">
      <c r="I377" s="22"/>
      <c r="R377" s="22"/>
      <c r="X377" s="22"/>
      <c r="Z377" s="23"/>
      <c r="AA377" s="23"/>
      <c r="AB377" s="23"/>
      <c r="AC377" s="23"/>
      <c r="AD377" s="23"/>
      <c r="AE377" s="23"/>
      <c r="AF377" s="23"/>
      <c r="AG377" s="23"/>
      <c r="AH377" s="22"/>
      <c r="AI377" s="22"/>
      <c r="AJ377" s="22"/>
      <c r="AK377" s="22"/>
      <c r="AO377" s="23"/>
      <c r="AP377" s="23"/>
      <c r="AQ377" s="23"/>
      <c r="AS377" s="23"/>
      <c r="AT377" s="23"/>
      <c r="BI377" s="23"/>
      <c r="BK377" s="23"/>
      <c r="BL377" s="22"/>
      <c r="BM377" s="22"/>
      <c r="BN377" s="22"/>
      <c r="BO377" s="22"/>
    </row>
    <row r="378" spans="9:67" customFormat="1" ht="16.5">
      <c r="I378" s="22"/>
      <c r="R378" s="22"/>
      <c r="X378" s="22"/>
      <c r="Z378" s="23"/>
      <c r="AA378" s="23"/>
      <c r="AB378" s="23"/>
      <c r="AC378" s="23"/>
      <c r="AD378" s="23"/>
      <c r="AE378" s="23"/>
      <c r="AF378" s="23"/>
      <c r="AG378" s="23"/>
      <c r="AH378" s="22"/>
      <c r="AI378" s="22"/>
      <c r="AJ378" s="22"/>
      <c r="AK378" s="22"/>
      <c r="AO378" s="23"/>
      <c r="AP378" s="23"/>
      <c r="AQ378" s="23"/>
      <c r="AS378" s="23"/>
      <c r="AT378" s="23"/>
      <c r="BI378" s="23"/>
      <c r="BK378" s="23"/>
      <c r="BL378" s="22"/>
      <c r="BM378" s="22"/>
      <c r="BN378" s="22"/>
      <c r="BO378" s="22"/>
    </row>
    <row r="379" spans="9:67" customFormat="1" ht="16.5">
      <c r="I379" s="22"/>
      <c r="R379" s="22"/>
      <c r="X379" s="22"/>
      <c r="Z379" s="23"/>
      <c r="AA379" s="23"/>
      <c r="AB379" s="23"/>
      <c r="AC379" s="23"/>
      <c r="AD379" s="23"/>
      <c r="AE379" s="23"/>
      <c r="AF379" s="23"/>
      <c r="AG379" s="23"/>
      <c r="AH379" s="22"/>
      <c r="AI379" s="22"/>
      <c r="AJ379" s="22"/>
      <c r="AK379" s="22"/>
      <c r="AO379" s="23"/>
      <c r="AP379" s="23"/>
      <c r="AQ379" s="23"/>
      <c r="AS379" s="23"/>
      <c r="AT379" s="23"/>
      <c r="BI379" s="23"/>
      <c r="BK379" s="23"/>
      <c r="BL379" s="22"/>
      <c r="BM379" s="22"/>
      <c r="BN379" s="22"/>
      <c r="BO379" s="22"/>
    </row>
    <row r="380" spans="9:67" customFormat="1" ht="16.5">
      <c r="I380" s="22"/>
      <c r="R380" s="22"/>
      <c r="X380" s="22"/>
      <c r="Z380" s="23"/>
      <c r="AA380" s="23"/>
      <c r="AB380" s="23"/>
      <c r="AC380" s="23"/>
      <c r="AD380" s="23"/>
      <c r="AE380" s="23"/>
      <c r="AF380" s="23"/>
      <c r="AG380" s="23"/>
      <c r="AH380" s="22"/>
      <c r="AI380" s="22"/>
      <c r="AJ380" s="22"/>
      <c r="AK380" s="22"/>
      <c r="AO380" s="23"/>
      <c r="AP380" s="23"/>
      <c r="AQ380" s="23"/>
      <c r="AS380" s="23"/>
      <c r="AT380" s="23"/>
      <c r="BI380" s="23"/>
      <c r="BK380" s="23"/>
      <c r="BL380" s="22"/>
      <c r="BM380" s="22"/>
      <c r="BN380" s="22"/>
      <c r="BO380" s="22"/>
    </row>
    <row r="381" spans="9:67" customFormat="1" ht="16.5">
      <c r="I381" s="22"/>
      <c r="R381" s="22"/>
      <c r="X381" s="22"/>
      <c r="Z381" s="23"/>
      <c r="AA381" s="23"/>
      <c r="AB381" s="23"/>
      <c r="AC381" s="23"/>
      <c r="AD381" s="23"/>
      <c r="AE381" s="23"/>
      <c r="AF381" s="23"/>
      <c r="AG381" s="23"/>
      <c r="AH381" s="22"/>
      <c r="AI381" s="22"/>
      <c r="AJ381" s="22"/>
      <c r="AK381" s="22"/>
      <c r="AO381" s="23"/>
      <c r="AP381" s="23"/>
      <c r="AQ381" s="23"/>
      <c r="AS381" s="23"/>
      <c r="AT381" s="23"/>
      <c r="BB381" s="23"/>
      <c r="BI381" s="23"/>
      <c r="BK381" s="23"/>
      <c r="BL381" s="22"/>
      <c r="BM381" s="22"/>
      <c r="BN381" s="22"/>
      <c r="BO381" s="22"/>
    </row>
    <row r="382" spans="9:67" customFormat="1" ht="16.5">
      <c r="I382" s="22"/>
      <c r="R382" s="22"/>
      <c r="X382" s="22"/>
      <c r="Z382" s="23"/>
      <c r="AA382" s="23"/>
      <c r="AB382" s="23"/>
      <c r="AC382" s="23"/>
      <c r="AD382" s="23"/>
      <c r="AE382" s="23"/>
      <c r="AF382" s="23"/>
      <c r="AG382" s="23"/>
      <c r="AH382" s="22"/>
      <c r="AI382" s="22"/>
      <c r="AJ382" s="22"/>
      <c r="AK382" s="22"/>
      <c r="AO382" s="23"/>
      <c r="AP382" s="23"/>
      <c r="AQ382" s="23"/>
      <c r="AS382" s="23"/>
      <c r="AT382" s="23"/>
      <c r="BB382" s="23"/>
      <c r="BI382" s="23"/>
      <c r="BK382" s="23"/>
      <c r="BL382" s="22"/>
      <c r="BM382" s="22"/>
      <c r="BN382" s="22"/>
      <c r="BO382" s="22"/>
    </row>
    <row r="383" spans="9:67" customFormat="1" ht="16.5">
      <c r="I383" s="22"/>
      <c r="R383" s="22"/>
      <c r="X383" s="22"/>
      <c r="Z383" s="23"/>
      <c r="AA383" s="23"/>
      <c r="AB383" s="23"/>
      <c r="AC383" s="23"/>
      <c r="AD383" s="23"/>
      <c r="AE383" s="23"/>
      <c r="AF383" s="23"/>
      <c r="AG383" s="23"/>
      <c r="AH383" s="22"/>
      <c r="AI383" s="22"/>
      <c r="AJ383" s="22"/>
      <c r="AK383" s="22"/>
      <c r="AO383" s="23"/>
      <c r="AP383" s="23"/>
      <c r="AQ383" s="23"/>
      <c r="AS383" s="23"/>
      <c r="AT383" s="23"/>
      <c r="BB383" s="23"/>
      <c r="BI383" s="23"/>
      <c r="BK383" s="23"/>
      <c r="BL383" s="22"/>
      <c r="BM383" s="22"/>
      <c r="BN383" s="22"/>
      <c r="BO383" s="22"/>
    </row>
    <row r="384" spans="9:67" customFormat="1" ht="16.5">
      <c r="I384" s="22"/>
      <c r="R384" s="22"/>
      <c r="X384" s="22"/>
      <c r="Z384" s="23"/>
      <c r="AA384" s="23"/>
      <c r="AB384" s="23"/>
      <c r="AC384" s="23"/>
      <c r="AD384" s="23"/>
      <c r="AE384" s="23"/>
      <c r="AF384" s="23"/>
      <c r="AG384" s="23"/>
      <c r="AH384" s="22"/>
      <c r="AI384" s="22"/>
      <c r="AJ384" s="22"/>
      <c r="AK384" s="22"/>
      <c r="AO384" s="23"/>
      <c r="AP384" s="23"/>
      <c r="AQ384" s="23"/>
      <c r="AS384" s="23"/>
      <c r="AT384" s="23"/>
      <c r="BB384" s="23"/>
      <c r="BI384" s="23"/>
      <c r="BK384" s="23"/>
      <c r="BL384" s="22"/>
      <c r="BM384" s="22"/>
      <c r="BN384" s="22"/>
      <c r="BO384" s="22"/>
    </row>
    <row r="385" spans="9:67" customFormat="1" ht="16.5">
      <c r="I385" s="22"/>
      <c r="R385" s="22"/>
      <c r="X385" s="22"/>
      <c r="Z385" s="23"/>
      <c r="AA385" s="23"/>
      <c r="AB385" s="23"/>
      <c r="AC385" s="23"/>
      <c r="AD385" s="23"/>
      <c r="AE385" s="23"/>
      <c r="AF385" s="23"/>
      <c r="AG385" s="23"/>
      <c r="AH385" s="22"/>
      <c r="AI385" s="22"/>
      <c r="AJ385" s="22"/>
      <c r="AK385" s="22"/>
      <c r="AO385" s="23"/>
      <c r="AP385" s="23"/>
      <c r="AQ385" s="23"/>
      <c r="AS385" s="23"/>
      <c r="AT385" s="23"/>
      <c r="AV385" s="23"/>
      <c r="BB385" s="23"/>
      <c r="BI385" s="23"/>
      <c r="BK385" s="23"/>
      <c r="BL385" s="22"/>
      <c r="BM385" s="22"/>
      <c r="BN385" s="22"/>
      <c r="BO385" s="22"/>
    </row>
    <row r="386" spans="9:67" customFormat="1" ht="16.5">
      <c r="I386" s="22"/>
      <c r="R386" s="22"/>
      <c r="X386" s="22"/>
      <c r="Z386" s="23"/>
      <c r="AA386" s="23"/>
      <c r="AB386" s="23"/>
      <c r="AC386" s="23"/>
      <c r="AD386" s="23"/>
      <c r="AE386" s="23"/>
      <c r="AF386" s="23"/>
      <c r="AG386" s="23"/>
      <c r="AH386" s="22"/>
      <c r="AI386" s="22"/>
      <c r="AJ386" s="22"/>
      <c r="AK386" s="22"/>
      <c r="AO386" s="23"/>
      <c r="AP386" s="23"/>
      <c r="AQ386" s="23"/>
      <c r="AS386" s="23"/>
      <c r="AT386" s="23"/>
      <c r="AV386" s="23"/>
      <c r="BB386" s="23"/>
      <c r="BI386" s="23"/>
      <c r="BK386" s="23"/>
      <c r="BL386" s="22"/>
      <c r="BM386" s="22"/>
      <c r="BN386" s="22"/>
      <c r="BO386" s="22"/>
    </row>
    <row r="387" spans="9:67" customFormat="1" ht="16.5">
      <c r="I387" s="22"/>
      <c r="R387" s="22"/>
      <c r="X387" s="22"/>
      <c r="Z387" s="23"/>
      <c r="AA387" s="23"/>
      <c r="AB387" s="23"/>
      <c r="AC387" s="23"/>
      <c r="AD387" s="23"/>
      <c r="AE387" s="23"/>
      <c r="AF387" s="23"/>
      <c r="AG387" s="23"/>
      <c r="AH387" s="22"/>
      <c r="AI387" s="22"/>
      <c r="AJ387" s="22"/>
      <c r="AK387" s="22"/>
      <c r="AO387" s="23"/>
      <c r="AP387" s="23"/>
      <c r="AQ387" s="23"/>
      <c r="AS387" s="23"/>
      <c r="AT387" s="23"/>
      <c r="AV387" s="23"/>
      <c r="BB387" s="23"/>
      <c r="BI387" s="23"/>
      <c r="BK387" s="23"/>
      <c r="BL387" s="22"/>
      <c r="BM387" s="22"/>
      <c r="BN387" s="22"/>
      <c r="BO387" s="22"/>
    </row>
    <row r="388" spans="9:67" customFormat="1" ht="16.5">
      <c r="I388" s="22"/>
      <c r="R388" s="22"/>
      <c r="X388" s="22"/>
      <c r="Z388" s="23"/>
      <c r="AA388" s="23"/>
      <c r="AB388" s="23"/>
      <c r="AC388" s="23"/>
      <c r="AD388" s="23"/>
      <c r="AE388" s="23"/>
      <c r="AF388" s="23"/>
      <c r="AG388" s="23"/>
      <c r="AH388" s="22"/>
      <c r="AI388" s="22"/>
      <c r="AJ388" s="22"/>
      <c r="AK388" s="22"/>
      <c r="AO388" s="23"/>
      <c r="AP388" s="23"/>
      <c r="AQ388" s="23"/>
      <c r="AS388" s="23"/>
      <c r="AT388" s="23"/>
      <c r="AV388" s="23"/>
      <c r="BB388" s="23"/>
      <c r="BI388" s="23"/>
      <c r="BK388" s="23"/>
      <c r="BL388" s="22"/>
      <c r="BM388" s="22"/>
      <c r="BN388" s="22"/>
      <c r="BO388" s="22"/>
    </row>
    <row r="389" spans="9:67" customFormat="1" ht="16.5">
      <c r="I389" s="22"/>
      <c r="R389" s="22"/>
      <c r="X389" s="22"/>
      <c r="Z389" s="23"/>
      <c r="AA389" s="23"/>
      <c r="AB389" s="23"/>
      <c r="AC389" s="23"/>
      <c r="AD389" s="23"/>
      <c r="AE389" s="23"/>
      <c r="AF389" s="23"/>
      <c r="AG389" s="23"/>
      <c r="AH389" s="22"/>
      <c r="AI389" s="22"/>
      <c r="AJ389" s="22"/>
      <c r="AK389" s="22"/>
      <c r="AO389" s="23"/>
      <c r="AP389" s="23"/>
      <c r="AQ389" s="23"/>
      <c r="AS389" s="23"/>
      <c r="AT389" s="23"/>
      <c r="AV389" s="23"/>
      <c r="BB389" s="23"/>
      <c r="BI389" s="23"/>
      <c r="BK389" s="23"/>
      <c r="BL389" s="22"/>
      <c r="BM389" s="22"/>
      <c r="BN389" s="22"/>
      <c r="BO389" s="22"/>
    </row>
    <row r="390" spans="9:67" customFormat="1" ht="16.5">
      <c r="I390" s="22"/>
      <c r="R390" s="22"/>
      <c r="X390" s="22"/>
      <c r="Z390" s="23"/>
      <c r="AA390" s="23"/>
      <c r="AB390" s="23"/>
      <c r="AC390" s="23"/>
      <c r="AD390" s="23"/>
      <c r="AE390" s="23"/>
      <c r="AF390" s="23"/>
      <c r="AG390" s="23"/>
      <c r="AH390" s="22"/>
      <c r="AI390" s="22"/>
      <c r="AJ390" s="22"/>
      <c r="AK390" s="22"/>
      <c r="AO390" s="23"/>
      <c r="AP390" s="23"/>
      <c r="AQ390" s="23"/>
      <c r="AS390" s="23"/>
      <c r="AT390" s="23"/>
      <c r="AV390" s="23"/>
      <c r="BB390" s="23"/>
      <c r="BI390" s="23"/>
      <c r="BK390" s="23"/>
      <c r="BL390" s="22"/>
      <c r="BM390" s="22"/>
      <c r="BN390" s="22"/>
      <c r="BO390" s="22"/>
    </row>
    <row r="391" spans="9:67" customFormat="1" ht="16.5">
      <c r="I391" s="22"/>
      <c r="R391" s="22"/>
      <c r="X391" s="22"/>
      <c r="Z391" s="23"/>
      <c r="AA391" s="23"/>
      <c r="AB391" s="23"/>
      <c r="AC391" s="23"/>
      <c r="AD391" s="23"/>
      <c r="AE391" s="23"/>
      <c r="AF391" s="23"/>
      <c r="AG391" s="23"/>
      <c r="AH391" s="22"/>
      <c r="AI391" s="22"/>
      <c r="AJ391" s="22"/>
      <c r="AK391" s="22"/>
      <c r="AO391" s="23"/>
      <c r="AP391" s="23"/>
      <c r="AQ391" s="23"/>
      <c r="AS391" s="23"/>
      <c r="AT391" s="23"/>
      <c r="AV391" s="23"/>
      <c r="BB391" s="23"/>
      <c r="BI391" s="23"/>
      <c r="BK391" s="23"/>
      <c r="BL391" s="22"/>
      <c r="BM391" s="22"/>
      <c r="BN391" s="22"/>
      <c r="BO391" s="22"/>
    </row>
    <row r="392" spans="9:67" customFormat="1" ht="16.5">
      <c r="I392" s="22"/>
      <c r="R392" s="22"/>
      <c r="X392" s="22"/>
      <c r="Z392" s="23"/>
      <c r="AA392" s="23"/>
      <c r="AB392" s="23"/>
      <c r="AC392" s="23"/>
      <c r="AD392" s="23"/>
      <c r="AE392" s="23"/>
      <c r="AF392" s="23"/>
      <c r="AG392" s="23"/>
      <c r="AH392" s="22"/>
      <c r="AI392" s="22"/>
      <c r="AJ392" s="22"/>
      <c r="AK392" s="22"/>
      <c r="AO392" s="23"/>
      <c r="AP392" s="23"/>
      <c r="AQ392" s="23"/>
      <c r="AS392" s="23"/>
      <c r="AT392" s="23"/>
      <c r="AV392" s="23"/>
      <c r="BB392" s="23"/>
      <c r="BI392" s="23"/>
      <c r="BK392" s="23"/>
      <c r="BL392" s="22"/>
      <c r="BM392" s="22"/>
      <c r="BN392" s="22"/>
      <c r="BO392" s="22"/>
    </row>
    <row r="393" spans="9:67" customFormat="1" ht="16.5">
      <c r="I393" s="22"/>
      <c r="R393" s="22"/>
      <c r="X393" s="22"/>
      <c r="Z393" s="23"/>
      <c r="AA393" s="23"/>
      <c r="AB393" s="23"/>
      <c r="AC393" s="23"/>
      <c r="AD393" s="23"/>
      <c r="AE393" s="23"/>
      <c r="AF393" s="23"/>
      <c r="AG393" s="23"/>
      <c r="AH393" s="22"/>
      <c r="AI393" s="22"/>
      <c r="AJ393" s="22"/>
      <c r="AK393" s="22"/>
      <c r="AO393" s="23"/>
      <c r="AP393" s="23"/>
      <c r="AQ393" s="23"/>
      <c r="AS393" s="23"/>
      <c r="AT393" s="23"/>
      <c r="AV393" s="23"/>
      <c r="BB393" s="23"/>
      <c r="BI393" s="23"/>
      <c r="BK393" s="23"/>
      <c r="BL393" s="22"/>
      <c r="BM393" s="22"/>
      <c r="BN393" s="22"/>
      <c r="BO393" s="22"/>
    </row>
    <row r="394" spans="9:67" customFormat="1" ht="16.5">
      <c r="I394" s="22"/>
      <c r="R394" s="22"/>
      <c r="X394" s="22"/>
      <c r="Z394" s="23"/>
      <c r="AA394" s="23"/>
      <c r="AB394" s="23"/>
      <c r="AC394" s="23"/>
      <c r="AD394" s="23"/>
      <c r="AE394" s="23"/>
      <c r="AF394" s="23"/>
      <c r="AG394" s="23"/>
      <c r="AH394" s="22"/>
      <c r="AI394" s="22"/>
      <c r="AJ394" s="22"/>
      <c r="AK394" s="22"/>
      <c r="AO394" s="23"/>
      <c r="AP394" s="23"/>
      <c r="AQ394" s="23"/>
      <c r="AS394" s="23"/>
      <c r="AT394" s="23"/>
      <c r="AV394" s="23"/>
      <c r="BB394" s="23"/>
      <c r="BI394" s="23"/>
      <c r="BK394" s="23"/>
      <c r="BL394" s="22"/>
      <c r="BM394" s="22"/>
      <c r="BN394" s="22"/>
      <c r="BO394" s="22"/>
    </row>
    <row r="395" spans="9:67" customFormat="1" ht="16.5">
      <c r="I395" s="22"/>
      <c r="R395" s="22"/>
      <c r="X395" s="22"/>
      <c r="Z395" s="23"/>
      <c r="AA395" s="23"/>
      <c r="AB395" s="23"/>
      <c r="AC395" s="23"/>
      <c r="AD395" s="23"/>
      <c r="AE395" s="23"/>
      <c r="AF395" s="23"/>
      <c r="AG395" s="23"/>
      <c r="AH395" s="22"/>
      <c r="AI395" s="22"/>
      <c r="AJ395" s="22"/>
      <c r="AK395" s="22"/>
      <c r="AO395" s="23"/>
      <c r="AP395" s="23"/>
      <c r="AQ395" s="23"/>
      <c r="AS395" s="23"/>
      <c r="AT395" s="23"/>
      <c r="AV395" s="23"/>
      <c r="BB395" s="23"/>
      <c r="BI395" s="23"/>
      <c r="BK395" s="23"/>
      <c r="BL395" s="22"/>
      <c r="BM395" s="22"/>
      <c r="BN395" s="22"/>
      <c r="BO395" s="22"/>
    </row>
    <row r="396" spans="9:67" customFormat="1" ht="16.5">
      <c r="I396" s="22"/>
      <c r="R396" s="22"/>
      <c r="X396" s="22"/>
      <c r="Z396" s="23"/>
      <c r="AA396" s="23"/>
      <c r="AB396" s="23"/>
      <c r="AC396" s="23"/>
      <c r="AD396" s="23"/>
      <c r="AE396" s="23"/>
      <c r="AF396" s="23"/>
      <c r="AG396" s="23"/>
      <c r="AH396" s="22"/>
      <c r="AI396" s="22"/>
      <c r="AJ396" s="22"/>
      <c r="AK396" s="22"/>
      <c r="AO396" s="23"/>
      <c r="AP396" s="23"/>
      <c r="AQ396" s="23"/>
      <c r="AS396" s="23"/>
      <c r="AT396" s="23"/>
      <c r="AV396" s="23"/>
      <c r="BB396" s="23"/>
      <c r="BI396" s="23"/>
      <c r="BK396" s="23"/>
      <c r="BL396" s="22"/>
      <c r="BM396" s="22"/>
      <c r="BN396" s="22"/>
      <c r="BO396" s="22"/>
    </row>
    <row r="397" spans="9:67" customFormat="1" ht="16.5">
      <c r="I397" s="22"/>
      <c r="R397" s="22"/>
      <c r="X397" s="22"/>
      <c r="Z397" s="23"/>
      <c r="AA397" s="23"/>
      <c r="AB397" s="23"/>
      <c r="AC397" s="23"/>
      <c r="AD397" s="23"/>
      <c r="AE397" s="23"/>
      <c r="AF397" s="23"/>
      <c r="AG397" s="23"/>
      <c r="AH397" s="22"/>
      <c r="AI397" s="22"/>
      <c r="AJ397" s="22"/>
      <c r="AK397" s="22"/>
      <c r="AO397" s="23"/>
      <c r="AP397" s="23"/>
      <c r="AQ397" s="23"/>
      <c r="AS397" s="23"/>
      <c r="AT397" s="23"/>
      <c r="AV397" s="23"/>
      <c r="BB397" s="23"/>
      <c r="BI397" s="23"/>
      <c r="BK397" s="23"/>
      <c r="BL397" s="22"/>
      <c r="BM397" s="22"/>
      <c r="BN397" s="22"/>
      <c r="BO397" s="22"/>
    </row>
    <row r="398" spans="9:67" customFormat="1" ht="16.5">
      <c r="I398" s="22"/>
      <c r="R398" s="22"/>
      <c r="X398" s="22"/>
      <c r="Z398" s="23"/>
      <c r="AA398" s="23"/>
      <c r="AB398" s="23"/>
      <c r="AC398" s="23"/>
      <c r="AD398" s="23"/>
      <c r="AE398" s="23"/>
      <c r="AF398" s="23"/>
      <c r="AG398" s="23"/>
      <c r="AH398" s="22"/>
      <c r="AI398" s="22"/>
      <c r="AJ398" s="22"/>
      <c r="AK398" s="22"/>
      <c r="AO398" s="23"/>
      <c r="AP398" s="23"/>
      <c r="AQ398" s="23"/>
      <c r="AS398" s="23"/>
      <c r="AT398" s="23"/>
      <c r="AV398" s="23"/>
      <c r="BB398" s="23"/>
      <c r="BI398" s="23"/>
      <c r="BK398" s="23"/>
      <c r="BL398" s="22"/>
      <c r="BM398" s="22"/>
      <c r="BN398" s="22"/>
      <c r="BO398" s="22"/>
    </row>
    <row r="399" spans="9:67" customFormat="1" ht="16.5">
      <c r="I399" s="22"/>
      <c r="R399" s="22"/>
      <c r="X399" s="22"/>
      <c r="Z399" s="23"/>
      <c r="AA399" s="23"/>
      <c r="AB399" s="23"/>
      <c r="AC399" s="23"/>
      <c r="AD399" s="23"/>
      <c r="AE399" s="23"/>
      <c r="AF399" s="23"/>
      <c r="AG399" s="23"/>
      <c r="AH399" s="22"/>
      <c r="AI399" s="22"/>
      <c r="AJ399" s="22"/>
      <c r="AK399" s="22"/>
      <c r="AO399" s="23"/>
      <c r="AP399" s="23"/>
      <c r="AQ399" s="23"/>
      <c r="AS399" s="23"/>
      <c r="AT399" s="23"/>
      <c r="AV399" s="23"/>
      <c r="BB399" s="23"/>
      <c r="BI399" s="23"/>
      <c r="BK399" s="23"/>
      <c r="BL399" s="22"/>
      <c r="BM399" s="22"/>
      <c r="BN399" s="22"/>
      <c r="BO399" s="22"/>
    </row>
    <row r="400" spans="9:67" customFormat="1" ht="16.5">
      <c r="I400" s="22"/>
      <c r="R400" s="22"/>
      <c r="X400" s="22"/>
      <c r="Z400" s="23"/>
      <c r="AA400" s="23"/>
      <c r="AB400" s="23"/>
      <c r="AC400" s="23"/>
      <c r="AD400" s="23"/>
      <c r="AE400" s="23"/>
      <c r="AF400" s="23"/>
      <c r="AG400" s="23"/>
      <c r="AH400" s="22"/>
      <c r="AI400" s="22"/>
      <c r="AJ400" s="22"/>
      <c r="AK400" s="22"/>
      <c r="AO400" s="23"/>
      <c r="AP400" s="23"/>
      <c r="AQ400" s="23"/>
      <c r="AS400" s="23"/>
      <c r="AT400" s="23"/>
      <c r="AV400" s="23"/>
      <c r="BB400" s="23"/>
      <c r="BI400" s="23"/>
      <c r="BK400" s="23"/>
      <c r="BL400" s="22"/>
      <c r="BM400" s="22"/>
      <c r="BN400" s="22"/>
      <c r="BO400" s="22"/>
    </row>
    <row r="401" spans="9:67" customFormat="1" ht="16.5">
      <c r="I401" s="22"/>
      <c r="R401" s="22"/>
      <c r="X401" s="22"/>
      <c r="Z401" s="23"/>
      <c r="AA401" s="23"/>
      <c r="AB401" s="23"/>
      <c r="AC401" s="23"/>
      <c r="AD401" s="23"/>
      <c r="AE401" s="23"/>
      <c r="AF401" s="23"/>
      <c r="AG401" s="23"/>
      <c r="AH401" s="22"/>
      <c r="AI401" s="22"/>
      <c r="AJ401" s="22"/>
      <c r="AK401" s="22"/>
      <c r="AO401" s="23"/>
      <c r="AP401" s="23"/>
      <c r="AQ401" s="23"/>
      <c r="AS401" s="23"/>
      <c r="AT401" s="23"/>
      <c r="AV401" s="23"/>
      <c r="BB401" s="23"/>
      <c r="BI401" s="23"/>
      <c r="BK401" s="23"/>
      <c r="BL401" s="22"/>
      <c r="BM401" s="22"/>
      <c r="BN401" s="22"/>
      <c r="BO401" s="22"/>
    </row>
    <row r="402" spans="9:67" customFormat="1" ht="16.5">
      <c r="I402" s="22"/>
      <c r="R402" s="22"/>
      <c r="X402" s="22"/>
      <c r="Z402" s="23"/>
      <c r="AA402" s="23"/>
      <c r="AB402" s="23"/>
      <c r="AC402" s="23"/>
      <c r="AD402" s="23"/>
      <c r="AE402" s="23"/>
      <c r="AF402" s="23"/>
      <c r="AG402" s="23"/>
      <c r="AH402" s="22"/>
      <c r="AI402" s="22"/>
      <c r="AJ402" s="22"/>
      <c r="AK402" s="22"/>
      <c r="AO402" s="23"/>
      <c r="AP402" s="23"/>
      <c r="AQ402" s="23"/>
      <c r="AS402" s="23"/>
      <c r="AT402" s="23"/>
      <c r="AV402" s="23"/>
      <c r="BB402" s="23"/>
      <c r="BI402" s="23"/>
      <c r="BK402" s="23"/>
      <c r="BL402" s="22"/>
      <c r="BM402" s="22"/>
      <c r="BN402" s="22"/>
      <c r="BO402" s="22"/>
    </row>
    <row r="403" spans="9:67" customFormat="1" ht="16.5">
      <c r="I403" s="22"/>
      <c r="R403" s="22"/>
      <c r="X403" s="22"/>
      <c r="Z403" s="23"/>
      <c r="AA403" s="23"/>
      <c r="AB403" s="23"/>
      <c r="AC403" s="23"/>
      <c r="AD403" s="23"/>
      <c r="AE403" s="23"/>
      <c r="AF403" s="23"/>
      <c r="AG403" s="23"/>
      <c r="AH403" s="22"/>
      <c r="AI403" s="22"/>
      <c r="AJ403" s="22"/>
      <c r="AK403" s="22"/>
      <c r="AO403" s="23"/>
      <c r="AP403" s="23"/>
      <c r="AQ403" s="23"/>
      <c r="AS403" s="23"/>
      <c r="AT403" s="23"/>
      <c r="AV403" s="23"/>
      <c r="BB403" s="23"/>
      <c r="BI403" s="23"/>
      <c r="BK403" s="23"/>
      <c r="BL403" s="22"/>
      <c r="BM403" s="22"/>
      <c r="BN403" s="22"/>
      <c r="BO403" s="22"/>
    </row>
    <row r="404" spans="9:67" customFormat="1" ht="16.5">
      <c r="I404" s="22"/>
      <c r="R404" s="22"/>
      <c r="X404" s="22"/>
      <c r="Z404" s="23"/>
      <c r="AA404" s="23"/>
      <c r="AB404" s="23"/>
      <c r="AC404" s="23"/>
      <c r="AD404" s="23"/>
      <c r="AE404" s="23"/>
      <c r="AF404" s="23"/>
      <c r="AG404" s="23"/>
      <c r="AH404" s="22"/>
      <c r="AI404" s="22"/>
      <c r="AJ404" s="22"/>
      <c r="AK404" s="22"/>
      <c r="AO404" s="23"/>
      <c r="AP404" s="23"/>
      <c r="AQ404" s="23"/>
      <c r="AS404" s="23"/>
      <c r="AT404" s="23"/>
      <c r="AV404" s="23"/>
      <c r="BB404" s="23"/>
      <c r="BI404" s="23"/>
      <c r="BK404" s="23"/>
      <c r="BL404" s="22"/>
      <c r="BM404" s="22"/>
      <c r="BN404" s="22"/>
      <c r="BO404" s="22"/>
    </row>
    <row r="405" spans="9:67" customFormat="1" ht="16.5">
      <c r="I405" s="22"/>
      <c r="R405" s="22"/>
      <c r="X405" s="22"/>
      <c r="Z405" s="23"/>
      <c r="AA405" s="23"/>
      <c r="AB405" s="23"/>
      <c r="AC405" s="23"/>
      <c r="AD405" s="23"/>
      <c r="AE405" s="23"/>
      <c r="AF405" s="23"/>
      <c r="AG405" s="23"/>
      <c r="AH405" s="22"/>
      <c r="AI405" s="22"/>
      <c r="AJ405" s="22"/>
      <c r="AK405" s="22"/>
      <c r="AO405" s="23"/>
      <c r="AP405" s="23"/>
      <c r="AQ405" s="23"/>
      <c r="AS405" s="23"/>
      <c r="AT405" s="23"/>
      <c r="BB405" s="23"/>
      <c r="BI405" s="23"/>
      <c r="BK405" s="23"/>
      <c r="BL405" s="22"/>
      <c r="BM405" s="22"/>
      <c r="BN405" s="22"/>
      <c r="BO405" s="22"/>
    </row>
    <row r="406" spans="9:67" customFormat="1" ht="16.5">
      <c r="I406" s="22"/>
      <c r="R406" s="22"/>
      <c r="X406" s="22"/>
      <c r="Z406" s="23"/>
      <c r="AA406" s="23"/>
      <c r="AB406" s="23"/>
      <c r="AC406" s="23"/>
      <c r="AD406" s="23"/>
      <c r="AE406" s="23"/>
      <c r="AF406" s="23"/>
      <c r="AG406" s="23"/>
      <c r="AH406" s="22"/>
      <c r="AI406" s="22"/>
      <c r="AJ406" s="22"/>
      <c r="AK406" s="22"/>
      <c r="AO406" s="23"/>
      <c r="AP406" s="23"/>
      <c r="AQ406" s="23"/>
      <c r="AS406" s="23"/>
      <c r="AT406" s="23"/>
      <c r="AV406" s="23"/>
      <c r="BB406" s="23"/>
      <c r="BI406" s="23"/>
      <c r="BK406" s="23"/>
      <c r="BL406" s="22"/>
      <c r="BM406" s="22"/>
      <c r="BN406" s="22"/>
      <c r="BO406" s="22"/>
    </row>
    <row r="407" spans="9:67" customFormat="1" ht="16.5">
      <c r="I407" s="22"/>
      <c r="R407" s="22"/>
      <c r="X407" s="22"/>
      <c r="Z407" s="23"/>
      <c r="AA407" s="23"/>
      <c r="AB407" s="23"/>
      <c r="AC407" s="23"/>
      <c r="AD407" s="23"/>
      <c r="AE407" s="23"/>
      <c r="AF407" s="23"/>
      <c r="AG407" s="23"/>
      <c r="AH407" s="22"/>
      <c r="AI407" s="22"/>
      <c r="AJ407" s="22"/>
      <c r="AK407" s="22"/>
      <c r="AO407" s="23"/>
      <c r="AP407" s="23"/>
      <c r="AQ407" s="23"/>
      <c r="AS407" s="23"/>
      <c r="AT407" s="23"/>
      <c r="AV407" s="23"/>
      <c r="BB407" s="23"/>
      <c r="BI407" s="23"/>
      <c r="BK407" s="23"/>
      <c r="BL407" s="22"/>
      <c r="BM407" s="22"/>
      <c r="BN407" s="22"/>
      <c r="BO407" s="22"/>
    </row>
    <row r="408" spans="9:67" customFormat="1" ht="16.5">
      <c r="I408" s="22"/>
      <c r="R408" s="22"/>
      <c r="X408" s="22"/>
      <c r="Z408" s="23"/>
      <c r="AA408" s="23"/>
      <c r="AB408" s="23"/>
      <c r="AC408" s="23"/>
      <c r="AD408" s="23"/>
      <c r="AE408" s="23"/>
      <c r="AF408" s="23"/>
      <c r="AG408" s="23"/>
      <c r="AH408" s="22"/>
      <c r="AI408" s="22"/>
      <c r="AJ408" s="22"/>
      <c r="AK408" s="22"/>
      <c r="AO408" s="23"/>
      <c r="AP408" s="23"/>
      <c r="AQ408" s="23"/>
      <c r="AS408" s="23"/>
      <c r="AT408" s="23"/>
      <c r="AV408" s="23"/>
      <c r="BB408" s="23"/>
      <c r="BI408" s="23"/>
      <c r="BK408" s="23"/>
      <c r="BL408" s="22"/>
      <c r="BM408" s="22"/>
      <c r="BN408" s="22"/>
      <c r="BO408" s="22"/>
    </row>
    <row r="409" spans="9:67" customFormat="1" ht="16.5">
      <c r="I409" s="22"/>
      <c r="R409" s="22"/>
      <c r="X409" s="22"/>
      <c r="Z409" s="23"/>
      <c r="AA409" s="23"/>
      <c r="AB409" s="23"/>
      <c r="AC409" s="23"/>
      <c r="AD409" s="23"/>
      <c r="AE409" s="23"/>
      <c r="AF409" s="23"/>
      <c r="AG409" s="23"/>
      <c r="AH409" s="22"/>
      <c r="AI409" s="22"/>
      <c r="AJ409" s="22"/>
      <c r="AK409" s="22"/>
      <c r="AO409" s="23"/>
      <c r="AP409" s="23"/>
      <c r="AQ409" s="23"/>
      <c r="AS409" s="23"/>
      <c r="AT409" s="23"/>
      <c r="AV409" s="23"/>
      <c r="BB409" s="23"/>
      <c r="BI409" s="23"/>
      <c r="BK409" s="23"/>
      <c r="BL409" s="22"/>
      <c r="BM409" s="22"/>
      <c r="BN409" s="22"/>
      <c r="BO409" s="22"/>
    </row>
    <row r="410" spans="9:67" customFormat="1" ht="16.5">
      <c r="I410" s="22"/>
      <c r="R410" s="22"/>
      <c r="X410" s="22"/>
      <c r="Z410" s="23"/>
      <c r="AA410" s="23"/>
      <c r="AB410" s="23"/>
      <c r="AC410" s="23"/>
      <c r="AD410" s="23"/>
      <c r="AE410" s="23"/>
      <c r="AF410" s="23"/>
      <c r="AG410" s="23"/>
      <c r="AH410" s="22"/>
      <c r="AI410" s="22"/>
      <c r="AJ410" s="22"/>
      <c r="AK410" s="22"/>
      <c r="AO410" s="23"/>
      <c r="AP410" s="23"/>
      <c r="AQ410" s="23"/>
      <c r="AS410" s="23"/>
      <c r="AT410" s="23"/>
      <c r="AV410" s="23"/>
      <c r="BB410" s="23"/>
      <c r="BI410" s="23"/>
      <c r="BK410" s="23"/>
      <c r="BL410" s="22"/>
      <c r="BM410" s="22"/>
      <c r="BN410" s="22"/>
      <c r="BO410" s="22"/>
    </row>
    <row r="411" spans="9:67" customFormat="1" ht="16.5">
      <c r="I411" s="22"/>
      <c r="R411" s="22"/>
      <c r="X411" s="22"/>
      <c r="Z411" s="23"/>
      <c r="AA411" s="23"/>
      <c r="AB411" s="23"/>
      <c r="AC411" s="23"/>
      <c r="AD411" s="23"/>
      <c r="AE411" s="23"/>
      <c r="AF411" s="23"/>
      <c r="AG411" s="23"/>
      <c r="AH411" s="22"/>
      <c r="AI411" s="22"/>
      <c r="AJ411" s="22"/>
      <c r="AK411" s="22"/>
      <c r="AO411" s="23"/>
      <c r="AP411" s="23"/>
      <c r="AQ411" s="23"/>
      <c r="AS411" s="23"/>
      <c r="AT411" s="23"/>
      <c r="AV411" s="23"/>
      <c r="BB411" s="23"/>
      <c r="BI411" s="23"/>
      <c r="BK411" s="23"/>
      <c r="BL411" s="22"/>
      <c r="BM411" s="22"/>
      <c r="BN411" s="22"/>
      <c r="BO411" s="22"/>
    </row>
    <row r="412" spans="9:67" customFormat="1" ht="16.5">
      <c r="I412" s="22"/>
      <c r="R412" s="22"/>
      <c r="X412" s="22"/>
      <c r="Z412" s="23"/>
      <c r="AA412" s="23"/>
      <c r="AB412" s="23"/>
      <c r="AC412" s="23"/>
      <c r="AD412" s="23"/>
      <c r="AE412" s="23"/>
      <c r="AF412" s="23"/>
      <c r="AG412" s="23"/>
      <c r="AH412" s="22"/>
      <c r="AI412" s="22"/>
      <c r="AJ412" s="22"/>
      <c r="AK412" s="22"/>
      <c r="AO412" s="23"/>
      <c r="AP412" s="23"/>
      <c r="AQ412" s="23"/>
      <c r="AS412" s="23"/>
      <c r="AT412" s="23"/>
      <c r="BB412" s="23"/>
      <c r="BI412" s="23"/>
      <c r="BK412" s="23"/>
      <c r="BL412" s="22"/>
      <c r="BM412" s="22"/>
      <c r="BN412" s="22"/>
      <c r="BO412" s="22"/>
    </row>
    <row r="413" spans="9:67" customFormat="1" ht="16.5">
      <c r="I413" s="22"/>
      <c r="R413" s="22"/>
      <c r="X413" s="22"/>
      <c r="Z413" s="23"/>
      <c r="AA413" s="23"/>
      <c r="AB413" s="23"/>
      <c r="AC413" s="23"/>
      <c r="AD413" s="23"/>
      <c r="AE413" s="23"/>
      <c r="AF413" s="23"/>
      <c r="AG413" s="23"/>
      <c r="AH413" s="22"/>
      <c r="AI413" s="22"/>
      <c r="AJ413" s="22"/>
      <c r="AK413" s="22"/>
      <c r="AO413" s="23"/>
      <c r="AP413" s="23"/>
      <c r="AQ413" s="23"/>
      <c r="AS413" s="23"/>
      <c r="AT413" s="23"/>
      <c r="BB413" s="23"/>
      <c r="BI413" s="23"/>
      <c r="BK413" s="23"/>
      <c r="BL413" s="22"/>
      <c r="BM413" s="22"/>
      <c r="BN413" s="22"/>
      <c r="BO413" s="22"/>
    </row>
    <row r="414" spans="9:67" customFormat="1" ht="16.5">
      <c r="I414" s="22"/>
      <c r="R414" s="22"/>
      <c r="X414" s="22"/>
      <c r="Z414" s="23"/>
      <c r="AA414" s="23"/>
      <c r="AB414" s="23"/>
      <c r="AC414" s="23"/>
      <c r="AD414" s="23"/>
      <c r="AE414" s="23"/>
      <c r="AF414" s="23"/>
      <c r="AG414" s="23"/>
      <c r="AH414" s="22"/>
      <c r="AI414" s="22"/>
      <c r="AJ414" s="22"/>
      <c r="AK414" s="22"/>
      <c r="AO414" s="23"/>
      <c r="AP414" s="23"/>
      <c r="AQ414" s="23"/>
      <c r="AS414" s="23"/>
      <c r="AT414" s="23"/>
      <c r="BB414" s="23"/>
      <c r="BI414" s="23"/>
      <c r="BK414" s="23"/>
      <c r="BL414" s="22"/>
      <c r="BM414" s="22"/>
      <c r="BN414" s="22"/>
      <c r="BO414" s="22"/>
    </row>
    <row r="415" spans="9:67" customFormat="1" ht="16.5">
      <c r="I415" s="22"/>
      <c r="R415" s="22"/>
      <c r="X415" s="22"/>
      <c r="Z415" s="23"/>
      <c r="AA415" s="23"/>
      <c r="AB415" s="23"/>
      <c r="AC415" s="23"/>
      <c r="AD415" s="23"/>
      <c r="AE415" s="23"/>
      <c r="AF415" s="23"/>
      <c r="AG415" s="23"/>
      <c r="AH415" s="22"/>
      <c r="AI415" s="22"/>
      <c r="AJ415" s="22"/>
      <c r="AK415" s="22"/>
      <c r="AO415" s="23"/>
      <c r="AP415" s="23"/>
      <c r="AQ415" s="23"/>
      <c r="AS415" s="23"/>
      <c r="AT415" s="23"/>
      <c r="BB415" s="23"/>
      <c r="BI415" s="23"/>
      <c r="BK415" s="23"/>
      <c r="BL415" s="22"/>
      <c r="BM415" s="22"/>
      <c r="BN415" s="22"/>
      <c r="BO415" s="22"/>
    </row>
    <row r="416" spans="9:67" customFormat="1" ht="16.5">
      <c r="I416" s="22"/>
      <c r="R416" s="22"/>
      <c r="X416" s="22"/>
      <c r="Z416" s="23"/>
      <c r="AA416" s="23"/>
      <c r="AB416" s="23"/>
      <c r="AC416" s="23"/>
      <c r="AD416" s="23"/>
      <c r="AE416" s="23"/>
      <c r="AF416" s="23"/>
      <c r="AG416" s="23"/>
      <c r="AH416" s="22"/>
      <c r="AI416" s="22"/>
      <c r="AJ416" s="22"/>
      <c r="AK416" s="22"/>
      <c r="AO416" s="23"/>
      <c r="AP416" s="23"/>
      <c r="AQ416" s="23"/>
      <c r="AS416" s="23"/>
      <c r="AT416" s="23"/>
      <c r="BB416" s="23"/>
      <c r="BI416" s="23"/>
      <c r="BK416" s="23"/>
      <c r="BL416" s="22"/>
      <c r="BM416" s="22"/>
      <c r="BN416" s="22"/>
      <c r="BO416" s="22"/>
    </row>
    <row r="417" spans="9:67" customFormat="1" ht="16.5">
      <c r="I417" s="22"/>
      <c r="R417" s="22"/>
      <c r="X417" s="22"/>
      <c r="Z417" s="23"/>
      <c r="AA417" s="23"/>
      <c r="AB417" s="23"/>
      <c r="AC417" s="23"/>
      <c r="AD417" s="23"/>
      <c r="AE417" s="23"/>
      <c r="AF417" s="23"/>
      <c r="AG417" s="23"/>
      <c r="AH417" s="22"/>
      <c r="AI417" s="22"/>
      <c r="AJ417" s="22"/>
      <c r="AK417" s="22"/>
      <c r="AO417" s="23"/>
      <c r="AP417" s="23"/>
      <c r="AQ417" s="23"/>
      <c r="AS417" s="23"/>
      <c r="AT417" s="23"/>
      <c r="AV417" s="23"/>
      <c r="BB417" s="23"/>
      <c r="BI417" s="23"/>
      <c r="BK417" s="23"/>
      <c r="BL417" s="22"/>
      <c r="BM417" s="22"/>
      <c r="BN417" s="22"/>
      <c r="BO417" s="22"/>
    </row>
    <row r="418" spans="9:67" customFormat="1" ht="16.5">
      <c r="I418" s="22"/>
      <c r="R418" s="22"/>
      <c r="X418" s="22"/>
      <c r="Z418" s="23"/>
      <c r="AA418" s="23"/>
      <c r="AB418" s="23"/>
      <c r="AC418" s="23"/>
      <c r="AD418" s="23"/>
      <c r="AE418" s="23"/>
      <c r="AF418" s="23"/>
      <c r="AG418" s="23"/>
      <c r="AH418" s="22"/>
      <c r="AI418" s="22"/>
      <c r="AJ418" s="22"/>
      <c r="AK418" s="22"/>
      <c r="AO418" s="23"/>
      <c r="AP418" s="23"/>
      <c r="AQ418" s="23"/>
      <c r="AS418" s="23"/>
      <c r="AT418" s="23"/>
      <c r="AV418" s="23"/>
      <c r="BB418" s="23"/>
      <c r="BI418" s="23"/>
      <c r="BK418" s="23"/>
      <c r="BL418" s="22"/>
      <c r="BM418" s="22"/>
      <c r="BN418" s="22"/>
      <c r="BO418" s="22"/>
    </row>
    <row r="419" spans="9:67" customFormat="1" ht="16.5">
      <c r="I419" s="22"/>
      <c r="R419" s="22"/>
      <c r="X419" s="22"/>
      <c r="Z419" s="23"/>
      <c r="AA419" s="23"/>
      <c r="AB419" s="23"/>
      <c r="AC419" s="23"/>
      <c r="AD419" s="23"/>
      <c r="AE419" s="23"/>
      <c r="AF419" s="23"/>
      <c r="AG419" s="23"/>
      <c r="AH419" s="22"/>
      <c r="AI419" s="22"/>
      <c r="AJ419" s="22"/>
      <c r="AK419" s="22"/>
      <c r="AO419" s="23"/>
      <c r="AP419" s="23"/>
      <c r="AQ419" s="23"/>
      <c r="AS419" s="23"/>
      <c r="AT419" s="23"/>
      <c r="AV419" s="23"/>
      <c r="BB419" s="23"/>
      <c r="BI419" s="23"/>
      <c r="BK419" s="23"/>
      <c r="BL419" s="22"/>
      <c r="BM419" s="22"/>
      <c r="BN419" s="22"/>
      <c r="BO419" s="22"/>
    </row>
    <row r="420" spans="9:67" customFormat="1" ht="16.5">
      <c r="I420" s="22"/>
      <c r="R420" s="22"/>
      <c r="X420" s="22"/>
      <c r="Z420" s="23"/>
      <c r="AA420" s="23"/>
      <c r="AB420" s="23"/>
      <c r="AC420" s="23"/>
      <c r="AD420" s="23"/>
      <c r="AE420" s="23"/>
      <c r="AF420" s="23"/>
      <c r="AG420" s="23"/>
      <c r="AH420" s="22"/>
      <c r="AI420" s="22"/>
      <c r="AJ420" s="22"/>
      <c r="AK420" s="22"/>
      <c r="AO420" s="23"/>
      <c r="AP420" s="23"/>
      <c r="AQ420" s="23"/>
      <c r="AS420" s="23"/>
      <c r="AT420" s="23"/>
      <c r="AV420" s="23"/>
      <c r="BB420" s="23"/>
      <c r="BI420" s="23"/>
      <c r="BK420" s="23"/>
      <c r="BL420" s="22"/>
      <c r="BM420" s="22"/>
      <c r="BN420" s="22"/>
      <c r="BO420" s="22"/>
    </row>
    <row r="421" spans="9:67" customFormat="1" ht="16.5">
      <c r="I421" s="22"/>
      <c r="R421" s="22"/>
      <c r="X421" s="22"/>
      <c r="Z421" s="23"/>
      <c r="AA421" s="23"/>
      <c r="AB421" s="23"/>
      <c r="AC421" s="23"/>
      <c r="AD421" s="23"/>
      <c r="AE421" s="23"/>
      <c r="AF421" s="23"/>
      <c r="AG421" s="23"/>
      <c r="AH421" s="22"/>
      <c r="AI421" s="22"/>
      <c r="AJ421" s="22"/>
      <c r="AK421" s="22"/>
      <c r="AO421" s="23"/>
      <c r="AP421" s="23"/>
      <c r="AQ421" s="23"/>
      <c r="AS421" s="23"/>
      <c r="AT421" s="23"/>
      <c r="AV421" s="23"/>
      <c r="BB421" s="23"/>
      <c r="BI421" s="23"/>
      <c r="BK421" s="23"/>
      <c r="BL421" s="22"/>
      <c r="BM421" s="22"/>
      <c r="BN421" s="22"/>
      <c r="BO421" s="22"/>
    </row>
    <row r="422" spans="9:67" customFormat="1" ht="16.5">
      <c r="I422" s="22"/>
      <c r="R422" s="22"/>
      <c r="X422" s="22"/>
      <c r="Z422" s="23"/>
      <c r="AA422" s="23"/>
      <c r="AB422" s="23"/>
      <c r="AC422" s="23"/>
      <c r="AD422" s="23"/>
      <c r="AE422" s="23"/>
      <c r="AF422" s="23"/>
      <c r="AG422" s="23"/>
      <c r="AH422" s="22"/>
      <c r="AI422" s="22"/>
      <c r="AJ422" s="22"/>
      <c r="AK422" s="22"/>
      <c r="AO422" s="23"/>
      <c r="AP422" s="23"/>
      <c r="AQ422" s="23"/>
      <c r="AS422" s="23"/>
      <c r="AT422" s="23"/>
      <c r="AV422" s="23"/>
      <c r="BB422" s="23"/>
      <c r="BI422" s="23"/>
      <c r="BK422" s="23"/>
      <c r="BL422" s="22"/>
      <c r="BM422" s="22"/>
      <c r="BN422" s="22"/>
      <c r="BO422" s="22"/>
    </row>
    <row r="423" spans="9:67" customFormat="1" ht="16.5">
      <c r="I423" s="22"/>
      <c r="R423" s="22"/>
      <c r="X423" s="22"/>
      <c r="Z423" s="23"/>
      <c r="AA423" s="23"/>
      <c r="AB423" s="23"/>
      <c r="AC423" s="23"/>
      <c r="AD423" s="23"/>
      <c r="AE423" s="23"/>
      <c r="AF423" s="23"/>
      <c r="AG423" s="23"/>
      <c r="AH423" s="22"/>
      <c r="AI423" s="22"/>
      <c r="AJ423" s="22"/>
      <c r="AK423" s="22"/>
      <c r="AO423" s="23"/>
      <c r="AP423" s="23"/>
      <c r="AQ423" s="23"/>
      <c r="AS423" s="23"/>
      <c r="AT423" s="23"/>
      <c r="AV423" s="23"/>
      <c r="BB423" s="23"/>
      <c r="BI423" s="23"/>
      <c r="BK423" s="23"/>
      <c r="BL423" s="22"/>
      <c r="BM423" s="22"/>
      <c r="BN423" s="22"/>
      <c r="BO423" s="22"/>
    </row>
    <row r="424" spans="9:67" customFormat="1" ht="16.5">
      <c r="I424" s="22"/>
      <c r="R424" s="22"/>
      <c r="X424" s="22"/>
      <c r="Z424" s="23"/>
      <c r="AA424" s="23"/>
      <c r="AB424" s="23"/>
      <c r="AC424" s="23"/>
      <c r="AD424" s="23"/>
      <c r="AE424" s="23"/>
      <c r="AF424" s="23"/>
      <c r="AG424" s="23"/>
      <c r="AH424" s="22"/>
      <c r="AI424" s="22"/>
      <c r="AJ424" s="22"/>
      <c r="AK424" s="22"/>
      <c r="AO424" s="23"/>
      <c r="AP424" s="23"/>
      <c r="AQ424" s="23"/>
      <c r="AS424" s="23"/>
      <c r="AT424" s="23"/>
      <c r="AV424" s="23"/>
      <c r="BB424" s="23"/>
      <c r="BI424" s="23"/>
      <c r="BK424" s="23"/>
      <c r="BL424" s="22"/>
      <c r="BM424" s="22"/>
      <c r="BN424" s="22"/>
      <c r="BO424" s="22"/>
    </row>
    <row r="425" spans="9:67" customFormat="1" ht="16.5">
      <c r="I425" s="22"/>
      <c r="R425" s="22"/>
      <c r="X425" s="22"/>
      <c r="Z425" s="23"/>
      <c r="AA425" s="23"/>
      <c r="AB425" s="23"/>
      <c r="AC425" s="23"/>
      <c r="AD425" s="23"/>
      <c r="AE425" s="23"/>
      <c r="AF425" s="23"/>
      <c r="AG425" s="23"/>
      <c r="AH425" s="22"/>
      <c r="AI425" s="22"/>
      <c r="AJ425" s="22"/>
      <c r="AK425" s="22"/>
      <c r="AO425" s="23"/>
      <c r="AP425" s="23"/>
      <c r="AQ425" s="23"/>
      <c r="AS425" s="23"/>
      <c r="AT425" s="23"/>
      <c r="AV425" s="23"/>
      <c r="BI425" s="23"/>
      <c r="BK425" s="23"/>
      <c r="BL425" s="22"/>
      <c r="BM425" s="22"/>
      <c r="BN425" s="22"/>
      <c r="BO425" s="22"/>
    </row>
    <row r="426" spans="9:67" customFormat="1" ht="16.5">
      <c r="I426" s="22"/>
      <c r="R426" s="22"/>
      <c r="X426" s="22"/>
      <c r="Z426" s="23"/>
      <c r="AA426" s="23"/>
      <c r="AB426" s="23"/>
      <c r="AC426" s="23"/>
      <c r="AD426" s="23"/>
      <c r="AE426" s="23"/>
      <c r="AF426" s="23"/>
      <c r="AG426" s="23"/>
      <c r="AH426" s="22"/>
      <c r="AI426" s="22"/>
      <c r="AJ426" s="22"/>
      <c r="AK426" s="22"/>
      <c r="AO426" s="23"/>
      <c r="AP426" s="23"/>
      <c r="AQ426" s="23"/>
      <c r="AS426" s="23"/>
      <c r="AT426" s="23"/>
      <c r="AV426" s="23"/>
      <c r="BI426" s="23"/>
      <c r="BK426" s="23"/>
      <c r="BL426" s="22"/>
      <c r="BM426" s="22"/>
      <c r="BN426" s="22"/>
      <c r="BO426" s="22"/>
    </row>
    <row r="427" spans="9:67" customFormat="1" ht="16.5">
      <c r="I427" s="22"/>
      <c r="R427" s="22"/>
      <c r="X427" s="22"/>
      <c r="Z427" s="23"/>
      <c r="AA427" s="23"/>
      <c r="AB427" s="23"/>
      <c r="AC427" s="23"/>
      <c r="AD427" s="23"/>
      <c r="AE427" s="23"/>
      <c r="AF427" s="23"/>
      <c r="AG427" s="23"/>
      <c r="AH427" s="22"/>
      <c r="AI427" s="22"/>
      <c r="AJ427" s="22"/>
      <c r="AK427" s="22"/>
      <c r="AO427" s="23"/>
      <c r="AP427" s="23"/>
      <c r="AQ427" s="23"/>
      <c r="AS427" s="23"/>
      <c r="AT427" s="23"/>
      <c r="AV427" s="23"/>
      <c r="BI427" s="23"/>
      <c r="BK427" s="23"/>
      <c r="BL427" s="22"/>
      <c r="BM427" s="22"/>
      <c r="BN427" s="22"/>
      <c r="BO427" s="22"/>
    </row>
    <row r="428" spans="9:67" customFormat="1" ht="16.5">
      <c r="I428" s="22"/>
      <c r="R428" s="22"/>
      <c r="X428" s="22"/>
      <c r="Z428" s="23"/>
      <c r="AA428" s="23"/>
      <c r="AB428" s="23"/>
      <c r="AC428" s="23"/>
      <c r="AD428" s="23"/>
      <c r="AE428" s="23"/>
      <c r="AF428" s="23"/>
      <c r="AG428" s="23"/>
      <c r="AH428" s="22"/>
      <c r="AI428" s="22"/>
      <c r="AJ428" s="22"/>
      <c r="AK428" s="22"/>
      <c r="AO428" s="23"/>
      <c r="AP428" s="23"/>
      <c r="AQ428" s="23"/>
      <c r="AS428" s="23"/>
      <c r="AT428" s="23"/>
      <c r="AV428" s="23"/>
      <c r="BI428" s="23"/>
      <c r="BK428" s="23"/>
      <c r="BL428" s="22"/>
      <c r="BM428" s="22"/>
      <c r="BN428" s="22"/>
      <c r="BO428" s="22"/>
    </row>
    <row r="429" spans="9:67" customFormat="1" ht="16.5">
      <c r="I429" s="22"/>
      <c r="R429" s="22"/>
      <c r="X429" s="22"/>
      <c r="Z429" s="23"/>
      <c r="AA429" s="23"/>
      <c r="AB429" s="23"/>
      <c r="AC429" s="23"/>
      <c r="AD429" s="23"/>
      <c r="AE429" s="23"/>
      <c r="AF429" s="23"/>
      <c r="AG429" s="23"/>
      <c r="AH429" s="22"/>
      <c r="AI429" s="22"/>
      <c r="AJ429" s="22"/>
      <c r="AK429" s="22"/>
      <c r="AO429" s="23"/>
      <c r="AP429" s="23"/>
      <c r="AQ429" s="23"/>
      <c r="AS429" s="23"/>
      <c r="AT429" s="23"/>
      <c r="AV429" s="23"/>
      <c r="BI429" s="23"/>
      <c r="BK429" s="23"/>
      <c r="BL429" s="22"/>
      <c r="BM429" s="22"/>
      <c r="BN429" s="22"/>
      <c r="BO429" s="22"/>
    </row>
    <row r="430" spans="9:67" customFormat="1" ht="16.5">
      <c r="I430" s="22"/>
      <c r="R430" s="22"/>
      <c r="X430" s="22"/>
      <c r="Z430" s="23"/>
      <c r="AA430" s="23"/>
      <c r="AB430" s="23"/>
      <c r="AC430" s="23"/>
      <c r="AD430" s="23"/>
      <c r="AE430" s="23"/>
      <c r="AF430" s="23"/>
      <c r="AG430" s="23"/>
      <c r="AH430" s="22"/>
      <c r="AI430" s="22"/>
      <c r="AJ430" s="22"/>
      <c r="AK430" s="22"/>
      <c r="AO430" s="23"/>
      <c r="AP430" s="23"/>
      <c r="AQ430" s="23"/>
      <c r="AS430" s="23"/>
      <c r="AT430" s="23"/>
      <c r="AV430" s="23"/>
      <c r="BI430" s="23"/>
      <c r="BK430" s="23"/>
      <c r="BL430" s="22"/>
      <c r="BM430" s="22"/>
      <c r="BN430" s="22"/>
      <c r="BO430" s="22"/>
    </row>
    <row r="431" spans="9:67" customFormat="1" ht="16.5">
      <c r="I431" s="22"/>
      <c r="R431" s="22"/>
      <c r="X431" s="22"/>
      <c r="Z431" s="23"/>
      <c r="AA431" s="23"/>
      <c r="AB431" s="23"/>
      <c r="AC431" s="23"/>
      <c r="AD431" s="23"/>
      <c r="AE431" s="23"/>
      <c r="AF431" s="23"/>
      <c r="AG431" s="23"/>
      <c r="AH431" s="22"/>
      <c r="AI431" s="22"/>
      <c r="AJ431" s="22"/>
      <c r="AK431" s="22"/>
      <c r="AO431" s="23"/>
      <c r="AP431" s="23"/>
      <c r="AQ431" s="23"/>
      <c r="AS431" s="23"/>
      <c r="AT431" s="23"/>
      <c r="AV431" s="23"/>
      <c r="BI431" s="23"/>
      <c r="BK431" s="23"/>
      <c r="BL431" s="22"/>
      <c r="BM431" s="22"/>
      <c r="BN431" s="22"/>
      <c r="BO431" s="22"/>
    </row>
    <row r="432" spans="9:67" customFormat="1" ht="16.5">
      <c r="I432" s="22"/>
      <c r="R432" s="22"/>
      <c r="X432" s="22"/>
      <c r="Z432" s="23"/>
      <c r="AA432" s="23"/>
      <c r="AB432" s="23"/>
      <c r="AC432" s="23"/>
      <c r="AD432" s="23"/>
      <c r="AE432" s="23"/>
      <c r="AF432" s="23"/>
      <c r="AG432" s="23"/>
      <c r="AH432" s="22"/>
      <c r="AI432" s="22"/>
      <c r="AJ432" s="22"/>
      <c r="AK432" s="22"/>
      <c r="AO432" s="23"/>
      <c r="AP432" s="23"/>
      <c r="AQ432" s="23"/>
      <c r="AS432" s="23"/>
      <c r="AT432" s="23"/>
      <c r="AV432" s="23"/>
      <c r="BI432" s="23"/>
      <c r="BK432" s="23"/>
      <c r="BL432" s="22"/>
      <c r="BM432" s="22"/>
      <c r="BN432" s="22"/>
      <c r="BO432" s="22"/>
    </row>
    <row r="433" spans="9:67" customFormat="1" ht="16.5">
      <c r="I433" s="22"/>
      <c r="R433" s="22"/>
      <c r="X433" s="22"/>
      <c r="Z433" s="23"/>
      <c r="AA433" s="23"/>
      <c r="AB433" s="23"/>
      <c r="AC433" s="23"/>
      <c r="AD433" s="23"/>
      <c r="AE433" s="23"/>
      <c r="AF433" s="23"/>
      <c r="AG433" s="23"/>
      <c r="AH433" s="22"/>
      <c r="AI433" s="22"/>
      <c r="AJ433" s="22"/>
      <c r="AK433" s="22"/>
      <c r="AO433" s="23"/>
      <c r="AP433" s="23"/>
      <c r="AQ433" s="23"/>
      <c r="AS433" s="23"/>
      <c r="AT433" s="23"/>
      <c r="BI433" s="23"/>
      <c r="BK433" s="23"/>
      <c r="BL433" s="22"/>
      <c r="BM433" s="22"/>
      <c r="BN433" s="22"/>
      <c r="BO433" s="22"/>
    </row>
    <row r="434" spans="9:67" customFormat="1" ht="16.5">
      <c r="I434" s="22"/>
      <c r="R434" s="22"/>
      <c r="X434" s="22"/>
      <c r="Z434" s="23"/>
      <c r="AA434" s="23"/>
      <c r="AB434" s="23"/>
      <c r="AC434" s="23"/>
      <c r="AD434" s="23"/>
      <c r="AE434" s="23"/>
      <c r="AF434" s="23"/>
      <c r="AG434" s="23"/>
      <c r="AH434" s="22"/>
      <c r="AI434" s="22"/>
      <c r="AJ434" s="22"/>
      <c r="AK434" s="22"/>
      <c r="AO434" s="23"/>
      <c r="AP434" s="23"/>
      <c r="AQ434" s="23"/>
      <c r="AS434" s="23"/>
      <c r="AT434" s="23"/>
      <c r="BI434" s="23"/>
      <c r="BK434" s="23"/>
      <c r="BL434" s="22"/>
      <c r="BM434" s="22"/>
      <c r="BN434" s="22"/>
      <c r="BO434" s="22"/>
    </row>
    <row r="435" spans="9:67" customFormat="1" ht="16.5">
      <c r="I435" s="22"/>
      <c r="R435" s="22"/>
      <c r="X435" s="22"/>
      <c r="Z435" s="23"/>
      <c r="AA435" s="23"/>
      <c r="AB435" s="23"/>
      <c r="AC435" s="23"/>
      <c r="AD435" s="23"/>
      <c r="AE435" s="23"/>
      <c r="AF435" s="23"/>
      <c r="AG435" s="23"/>
      <c r="AH435" s="22"/>
      <c r="AI435" s="22"/>
      <c r="AJ435" s="22"/>
      <c r="AK435" s="22"/>
      <c r="AO435" s="23"/>
      <c r="AP435" s="23"/>
      <c r="AQ435" s="23"/>
      <c r="AS435" s="23"/>
      <c r="AT435" s="23"/>
      <c r="BI435" s="23"/>
      <c r="BK435" s="23"/>
      <c r="BL435" s="22"/>
      <c r="BM435" s="22"/>
      <c r="BN435" s="22"/>
      <c r="BO435" s="22"/>
    </row>
    <row r="436" spans="9:67" customFormat="1" ht="16.5">
      <c r="I436" s="22"/>
      <c r="R436" s="22"/>
      <c r="X436" s="22"/>
      <c r="Z436" s="23"/>
      <c r="AA436" s="23"/>
      <c r="AB436" s="23"/>
      <c r="AC436" s="23"/>
      <c r="AD436" s="23"/>
      <c r="AE436" s="23"/>
      <c r="AF436" s="23"/>
      <c r="AG436" s="23"/>
      <c r="AH436" s="22"/>
      <c r="AI436" s="22"/>
      <c r="AJ436" s="22"/>
      <c r="AK436" s="22"/>
      <c r="AO436" s="23"/>
      <c r="AP436" s="23"/>
      <c r="AQ436" s="23"/>
      <c r="AS436" s="23"/>
      <c r="AT436" s="23"/>
      <c r="BB436" s="23"/>
      <c r="BI436" s="23"/>
      <c r="BK436" s="23"/>
      <c r="BL436" s="22"/>
      <c r="BM436" s="22"/>
      <c r="BN436" s="22"/>
      <c r="BO436" s="22"/>
    </row>
    <row r="437" spans="9:67" customFormat="1" ht="16.5">
      <c r="I437" s="22"/>
      <c r="R437" s="22"/>
      <c r="X437" s="22"/>
      <c r="Z437" s="23"/>
      <c r="AA437" s="23"/>
      <c r="AB437" s="23"/>
      <c r="AC437" s="23"/>
      <c r="AD437" s="23"/>
      <c r="AE437" s="23"/>
      <c r="AF437" s="23"/>
      <c r="AG437" s="23"/>
      <c r="AH437" s="22"/>
      <c r="AI437" s="22"/>
      <c r="AJ437" s="22"/>
      <c r="AK437" s="22"/>
      <c r="AO437" s="23"/>
      <c r="AP437" s="23"/>
      <c r="AQ437" s="23"/>
      <c r="AS437" s="23"/>
      <c r="AT437" s="23"/>
      <c r="BB437" s="23"/>
      <c r="BI437" s="23"/>
      <c r="BK437" s="23"/>
      <c r="BL437" s="22"/>
      <c r="BM437" s="22"/>
      <c r="BN437" s="22"/>
      <c r="BO437" s="22"/>
    </row>
    <row r="438" spans="9:67" customFormat="1" ht="16.5">
      <c r="I438" s="22"/>
      <c r="R438" s="22"/>
      <c r="X438" s="22"/>
      <c r="Z438" s="23"/>
      <c r="AA438" s="23"/>
      <c r="AB438" s="23"/>
      <c r="AC438" s="23"/>
      <c r="AD438" s="23"/>
      <c r="AE438" s="23"/>
      <c r="AF438" s="23"/>
      <c r="AG438" s="23"/>
      <c r="AH438" s="22"/>
      <c r="AI438" s="22"/>
      <c r="AJ438" s="22"/>
      <c r="AK438" s="22"/>
      <c r="AO438" s="23"/>
      <c r="AP438" s="23"/>
      <c r="AQ438" s="23"/>
      <c r="AS438" s="23"/>
      <c r="AT438" s="23"/>
      <c r="BB438" s="23"/>
      <c r="BI438" s="23"/>
      <c r="BK438" s="23"/>
      <c r="BL438" s="22"/>
      <c r="BM438" s="22"/>
      <c r="BN438" s="22"/>
      <c r="BO438" s="22"/>
    </row>
    <row r="439" spans="9:67" customFormat="1" ht="16.5">
      <c r="I439" s="22"/>
      <c r="R439" s="22"/>
      <c r="X439" s="22"/>
      <c r="Z439" s="23"/>
      <c r="AA439" s="23"/>
      <c r="AB439" s="23"/>
      <c r="AC439" s="23"/>
      <c r="AD439" s="23"/>
      <c r="AE439" s="23"/>
      <c r="AF439" s="23"/>
      <c r="AG439" s="23"/>
      <c r="AH439" s="22"/>
      <c r="AI439" s="22"/>
      <c r="AJ439" s="22"/>
      <c r="AK439" s="22"/>
      <c r="AO439" s="23"/>
      <c r="AP439" s="23"/>
      <c r="AQ439" s="23"/>
      <c r="AS439" s="23"/>
      <c r="AT439" s="23"/>
      <c r="BB439" s="23"/>
      <c r="BI439" s="23"/>
      <c r="BK439" s="23"/>
      <c r="BL439" s="22"/>
      <c r="BM439" s="22"/>
      <c r="BN439" s="22"/>
      <c r="BO439" s="22"/>
    </row>
    <row r="440" spans="9:67" customFormat="1" ht="16.5">
      <c r="I440" s="22"/>
      <c r="R440" s="22"/>
      <c r="X440" s="22"/>
      <c r="Z440" s="23"/>
      <c r="AA440" s="23"/>
      <c r="AB440" s="23"/>
      <c r="AC440" s="23"/>
      <c r="AD440" s="23"/>
      <c r="AE440" s="23"/>
      <c r="AF440" s="23"/>
      <c r="AG440" s="23"/>
      <c r="AH440" s="22"/>
      <c r="AI440" s="22"/>
      <c r="AJ440" s="22"/>
      <c r="AK440" s="22"/>
      <c r="AO440" s="23"/>
      <c r="AP440" s="23"/>
      <c r="AQ440" s="23"/>
      <c r="AS440" s="23"/>
      <c r="AT440" s="23"/>
      <c r="BI440" s="23"/>
      <c r="BK440" s="23"/>
      <c r="BL440" s="22"/>
      <c r="BM440" s="22"/>
      <c r="BN440" s="22"/>
      <c r="BO440" s="22"/>
    </row>
    <row r="441" spans="9:67" customFormat="1" ht="16.5">
      <c r="I441" s="22"/>
      <c r="R441" s="22"/>
      <c r="X441" s="22"/>
      <c r="Z441" s="23"/>
      <c r="AA441" s="23"/>
      <c r="AB441" s="23"/>
      <c r="AC441" s="23"/>
      <c r="AD441" s="23"/>
      <c r="AE441" s="23"/>
      <c r="AF441" s="23"/>
      <c r="AG441" s="23"/>
      <c r="AH441" s="22"/>
      <c r="AI441" s="22"/>
      <c r="AJ441" s="22"/>
      <c r="AK441" s="22"/>
      <c r="AO441" s="23"/>
      <c r="AP441" s="23"/>
      <c r="AQ441" s="23"/>
      <c r="AS441" s="23"/>
      <c r="AT441" s="23"/>
      <c r="BI441" s="23"/>
      <c r="BK441" s="23"/>
      <c r="BL441" s="22"/>
      <c r="BM441" s="22"/>
      <c r="BN441" s="22"/>
      <c r="BO441" s="22"/>
    </row>
    <row r="442" spans="9:67" customFormat="1" ht="16.5">
      <c r="I442" s="22"/>
      <c r="R442" s="22"/>
      <c r="X442" s="22"/>
      <c r="Z442" s="23"/>
      <c r="AA442" s="23"/>
      <c r="AB442" s="23"/>
      <c r="AC442" s="23"/>
      <c r="AD442" s="23"/>
      <c r="AE442" s="23"/>
      <c r="AF442" s="23"/>
      <c r="AG442" s="23"/>
      <c r="AH442" s="22"/>
      <c r="AI442" s="22"/>
      <c r="AJ442" s="22"/>
      <c r="AK442" s="22"/>
      <c r="AO442" s="23"/>
      <c r="AP442" s="23"/>
      <c r="AQ442" s="23"/>
      <c r="AS442" s="23"/>
      <c r="AT442" s="23"/>
      <c r="AV442" s="23"/>
      <c r="BB442" s="23"/>
      <c r="BI442" s="23"/>
      <c r="BK442" s="23"/>
      <c r="BL442" s="22"/>
      <c r="BM442" s="22"/>
      <c r="BN442" s="22"/>
      <c r="BO442" s="22"/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402"/>
  <sheetViews>
    <sheetView showZeros="0" workbookViewId="0">
      <selection activeCell="E5" sqref="E5"/>
    </sheetView>
  </sheetViews>
  <sheetFormatPr defaultColWidth="9" defaultRowHeight="16.5"/>
  <cols>
    <col min="1" max="1" width="8" style="12" bestFit="1" customWidth="1"/>
    <col min="2" max="2" width="10.875" style="8" bestFit="1" customWidth="1"/>
    <col min="3" max="3" width="14.125" style="8" customWidth="1"/>
    <col min="4" max="4" width="20.875" style="8" customWidth="1"/>
    <col min="5" max="5" width="28" style="8" bestFit="1" customWidth="1"/>
    <col min="6" max="6" width="31.25" style="8" bestFit="1" customWidth="1"/>
    <col min="7" max="7" width="10.375" style="8" customWidth="1"/>
    <col min="8" max="8" width="9.25" style="8" bestFit="1" customWidth="1"/>
    <col min="9" max="10" width="8.625" style="8" customWidth="1"/>
    <col min="11" max="11" width="6" style="8" bestFit="1" customWidth="1"/>
    <col min="12" max="12" width="9.625" style="8" customWidth="1"/>
    <col min="13" max="13" width="16.625" style="8" bestFit="1" customWidth="1"/>
    <col min="14" max="14" width="11.375" style="8" customWidth="1"/>
    <col min="15" max="15" width="72.75" style="8" bestFit="1" customWidth="1"/>
    <col min="16" max="16" width="25" style="13" bestFit="1" customWidth="1"/>
    <col min="17" max="17" width="70.375" style="8" customWidth="1"/>
    <col min="18" max="18" width="9" style="8"/>
    <col min="19" max="19" width="6.375" style="20" bestFit="1" customWidth="1"/>
    <col min="20" max="21" width="2" style="20" bestFit="1" customWidth="1"/>
    <col min="22" max="22" width="8.375" style="21" bestFit="1" customWidth="1"/>
    <col min="23" max="23" width="7" style="21" bestFit="1" customWidth="1"/>
    <col min="24" max="24" width="21.375" style="20" customWidth="1"/>
    <col min="25" max="25" width="9" style="20"/>
    <col min="26" max="16384" width="9" style="8"/>
  </cols>
  <sheetData>
    <row r="1" spans="1:23">
      <c r="A1" s="4" t="s">
        <v>54</v>
      </c>
      <c r="B1" s="5" t="s">
        <v>55</v>
      </c>
      <c r="C1" s="6" t="s">
        <v>56</v>
      </c>
      <c r="D1" s="5" t="s">
        <v>57</v>
      </c>
      <c r="E1" s="5" t="s">
        <v>286</v>
      </c>
      <c r="F1" s="6" t="s">
        <v>58</v>
      </c>
      <c r="G1" s="6" t="s">
        <v>59</v>
      </c>
      <c r="H1" s="7" t="s">
        <v>60</v>
      </c>
      <c r="I1" s="7"/>
      <c r="J1" s="7"/>
      <c r="K1" s="7" t="s">
        <v>61</v>
      </c>
      <c r="L1" s="7"/>
      <c r="M1" s="5" t="s">
        <v>62</v>
      </c>
      <c r="N1" s="5" t="s">
        <v>63</v>
      </c>
      <c r="O1" s="5" t="s">
        <v>64</v>
      </c>
      <c r="P1" s="5"/>
      <c r="Q1" s="5" t="s">
        <v>65</v>
      </c>
      <c r="S1" s="20" t="s">
        <v>284</v>
      </c>
    </row>
    <row r="2" spans="1:23" ht="14.25" customHeight="1">
      <c r="A2" s="9" t="s">
        <v>295</v>
      </c>
      <c r="B2" s="9" t="s">
        <v>296</v>
      </c>
      <c r="C2" s="16" t="str">
        <f>M2</f>
        <v>김선미(달서구)</v>
      </c>
      <c r="D2" s="16" t="str">
        <f>IFERROR(TRIM(LEFT(발주발송관리!T2,FIND(" ",발주발송관리!T2)-1)),0)</f>
        <v>마마스파파</v>
      </c>
      <c r="E2" s="16" t="str">
        <f>IFERROR(MID(발주발송관리!T2,FIND(" ",발주발송관리!T2)+1,LEN(발주발송관리!T2)-FIND(" ",발주발송관리!T2)+1),0)</f>
        <v>요거트패딩 S-XL 25겨울</v>
      </c>
      <c r="F2" s="16" t="str">
        <f>발주발송관리!W2</f>
        <v>색상: 아이 / 사이즈: S</v>
      </c>
      <c r="G2" s="11">
        <f>발주발송관리!Y2</f>
        <v>1</v>
      </c>
      <c r="H2" s="17">
        <f>발주발송관리!Z2/1.6</f>
        <v>0</v>
      </c>
      <c r="I2" s="10"/>
      <c r="J2" s="10"/>
      <c r="K2" s="11"/>
      <c r="L2" s="11"/>
      <c r="M2" s="16" t="str">
        <f>IF(발주발송관리!M2=R2,0,발주발송관리!M2&amp;T2&amp;S2&amp;U2)</f>
        <v>김선미(달서구)</v>
      </c>
      <c r="N2" s="16" t="str">
        <f>발주발송관리!AZ2</f>
        <v>010-6603-8079</v>
      </c>
      <c r="O2" s="16" t="str">
        <f>발주발송관리!AW2</f>
        <v>대구광역시 달서구 장기로 115 (성당동, 성당동 더 샵) 104동 1404호</v>
      </c>
      <c r="P2" s="18"/>
      <c r="Q2" s="18">
        <f>발주발송관리!BB2</f>
        <v>0</v>
      </c>
      <c r="S2" s="20" t="str">
        <f>IFERROR(LOOKUP(1,0/(FIND($V$2:$V$209,O2)),$W$2:$W$209),"")</f>
        <v>달서구</v>
      </c>
      <c r="T2" s="20" t="s">
        <v>275</v>
      </c>
      <c r="U2" s="20" t="s">
        <v>285</v>
      </c>
      <c r="V2" s="24" t="s">
        <v>261</v>
      </c>
      <c r="W2" s="25" t="s">
        <v>66</v>
      </c>
    </row>
    <row r="3" spans="1:23" ht="14.25" customHeight="1">
      <c r="A3" s="9" t="s">
        <v>298</v>
      </c>
      <c r="B3" s="9" t="s">
        <v>297</v>
      </c>
      <c r="C3" s="16" t="str">
        <f t="shared" ref="C3:C52" si="0">M3</f>
        <v>허은정(달성군)</v>
      </c>
      <c r="D3" s="16" t="str">
        <f>IFERROR(TRIM(LEFT(발주발송관리!T3,FIND(" ",발주발송관리!T3)-1)),0)</f>
        <v>봉봉부틱</v>
      </c>
      <c r="E3" s="16" t="str">
        <f>IFERROR(MID(발주발송관리!T3,FIND(" ",발주발송관리!T3)+1,LEN(발주발송관리!T3)-FIND(" ",발주발송관리!T3)+1),0)</f>
        <v>토브팬츠 JS-JM 25겨울</v>
      </c>
      <c r="F3" s="16" t="str">
        <f>발주발송관리!W3</f>
        <v>색상: 브라운 / 사이즈: JM</v>
      </c>
      <c r="G3" s="11">
        <f>발주발송관리!Y3</f>
        <v>1</v>
      </c>
      <c r="H3" s="17">
        <f>발주발송관리!Z3/1.6</f>
        <v>0</v>
      </c>
      <c r="I3" s="10"/>
      <c r="J3" s="10"/>
      <c r="K3" s="11"/>
      <c r="L3" s="11"/>
      <c r="M3" s="16" t="str">
        <f>IF(발주발송관리!M3=R3,0,발주발송관리!M3&amp;T3&amp;S3&amp;U3)</f>
        <v>허은정(달성군)</v>
      </c>
      <c r="N3" s="16" t="str">
        <f>발주발송관리!AZ3</f>
        <v>010-2543-6903</v>
      </c>
      <c r="O3" s="16" t="str">
        <f>발주발송관리!AW3</f>
        <v>대구광역시 달성군 다사읍 서재로7길 25 (다사읍, 에코폴리스 동화 아이위시 3차) 311동 1101호</v>
      </c>
      <c r="P3" s="18"/>
      <c r="Q3" s="18" t="str">
        <f>발주발송관리!BB3</f>
        <v>빠른배송 부탁드려요</v>
      </c>
      <c r="S3" s="20" t="str">
        <f t="shared" ref="S3:S66" si="1">IFERROR(LOOKUP(1,0/(FIND($V$2:$V$209,O3)),$W$2:$W$209),"")</f>
        <v>달성군</v>
      </c>
      <c r="T3" s="20" t="s">
        <v>275</v>
      </c>
      <c r="U3" s="20" t="s">
        <v>285</v>
      </c>
      <c r="V3" s="24" t="s">
        <v>273</v>
      </c>
      <c r="W3" s="25" t="s">
        <v>67</v>
      </c>
    </row>
    <row r="4" spans="1:23" ht="15.75" customHeight="1">
      <c r="A4" s="9" t="s">
        <v>295</v>
      </c>
      <c r="B4" s="9" t="s">
        <v>296</v>
      </c>
      <c r="C4" s="16" t="str">
        <f t="shared" si="0"/>
        <v>허은정(달성군)</v>
      </c>
      <c r="D4" s="16" t="str">
        <f>IFERROR(TRIM(LEFT(발주발송관리!T4,FIND(" ",발주발송관리!T4)-1)),0)</f>
        <v>봉봉부틱</v>
      </c>
      <c r="E4" s="16" t="str">
        <f>IFERROR(MID(발주발송관리!T4,FIND(" ",발주발송관리!T4)+1,LEN(발주발송관리!T4)-FIND(" ",발주발송관리!T4)+1),0)</f>
        <v>토브팬츠 JS-JM 25겨울</v>
      </c>
      <c r="F4" s="16" t="str">
        <f>발주발송관리!W4</f>
        <v>색상: 그레이 / 사이즈: JM</v>
      </c>
      <c r="G4" s="11">
        <f>발주발송관리!Y4</f>
        <v>1</v>
      </c>
      <c r="H4" s="17">
        <f>발주발송관리!Z4/1.6</f>
        <v>0</v>
      </c>
      <c r="I4" s="10"/>
      <c r="J4" s="10"/>
      <c r="K4" s="11"/>
      <c r="L4" s="11"/>
      <c r="M4" s="16" t="str">
        <f>IF(발주발송관리!M4=R4,0,발주발송관리!M4&amp;T4&amp;S4&amp;U4)</f>
        <v>허은정(달성군)</v>
      </c>
      <c r="N4" s="16" t="str">
        <f>발주발송관리!AZ4</f>
        <v>010-2543-6903</v>
      </c>
      <c r="O4" s="16" t="str">
        <f>발주발송관리!AW4</f>
        <v>대구광역시 달성군 다사읍 서재로7길 25 (다사읍, 에코폴리스 동화 아이위시 3차) 311동 1101호</v>
      </c>
      <c r="P4" s="18"/>
      <c r="Q4" s="18" t="str">
        <f>발주발송관리!BB4</f>
        <v>빠른배송 부탁드려요</v>
      </c>
      <c r="S4" s="20" t="str">
        <f t="shared" si="1"/>
        <v>달성군</v>
      </c>
      <c r="T4" s="20" t="s">
        <v>275</v>
      </c>
      <c r="U4" s="20" t="s">
        <v>285</v>
      </c>
      <c r="V4" s="24" t="s">
        <v>274</v>
      </c>
      <c r="W4" s="25" t="s">
        <v>68</v>
      </c>
    </row>
    <row r="5" spans="1:23" ht="15" customHeight="1">
      <c r="A5" s="9" t="s">
        <v>295</v>
      </c>
      <c r="B5" s="9" t="s">
        <v>296</v>
      </c>
      <c r="C5" s="16" t="str">
        <f t="shared" si="0"/>
        <v>이지영(화성)</v>
      </c>
      <c r="D5" s="16" t="str">
        <f>IFERROR(TRIM(LEFT(발주발송관리!T5,FIND(" ",발주발송관리!T5)-1)),0)</f>
        <v>피치피치</v>
      </c>
      <c r="E5" s="16" t="str">
        <f>IFERROR(MID(발주발송관리!T5,FIND(" ",발주발송관리!T5)+1,LEN(발주발송관리!T5)-FIND(" ",발주발송관리!T5)+1),0)</f>
        <v>구름아노락후디 XS-XL 25겨울</v>
      </c>
      <c r="F5" s="16" t="str">
        <f>발주발송관리!W5</f>
        <v>색상: 크림 / 사이즈: L</v>
      </c>
      <c r="G5" s="11">
        <f>발주발송관리!Y5</f>
        <v>1</v>
      </c>
      <c r="H5" s="17">
        <f>발주발송관리!Z5/1.6</f>
        <v>0</v>
      </c>
      <c r="I5" s="10"/>
      <c r="J5" s="10"/>
      <c r="K5" s="11"/>
      <c r="L5" s="11"/>
      <c r="M5" s="16" t="str">
        <f>IF(발주발송관리!M5=R5,0,발주발송관리!M5&amp;T5&amp;S5&amp;U5)</f>
        <v>이지영(화성)</v>
      </c>
      <c r="N5" s="16" t="str">
        <f>발주발송관리!AZ5</f>
        <v>010-4581-7145</v>
      </c>
      <c r="O5" s="16" t="str">
        <f>발주발송관리!AW5</f>
        <v>경기도 화성시 동탄순환대로20길 69 (목동) 경남아너스빌22단지 2253동 1701호</v>
      </c>
      <c r="P5" s="18"/>
      <c r="Q5" s="18">
        <f>발주발송관리!BB5</f>
        <v>0</v>
      </c>
      <c r="S5" s="20" t="str">
        <f t="shared" si="1"/>
        <v>화성</v>
      </c>
      <c r="T5" s="20" t="s">
        <v>275</v>
      </c>
      <c r="U5" s="20" t="s">
        <v>285</v>
      </c>
      <c r="V5" s="24" t="s">
        <v>262</v>
      </c>
      <c r="W5" s="25" t="s">
        <v>69</v>
      </c>
    </row>
    <row r="6" spans="1:23" ht="16.5" customHeight="1">
      <c r="A6" s="9" t="s">
        <v>295</v>
      </c>
      <c r="B6" s="9" t="s">
        <v>296</v>
      </c>
      <c r="C6" s="16" t="str">
        <f t="shared" si="0"/>
        <v>이지영(화성)</v>
      </c>
      <c r="D6" s="16" t="str">
        <f>IFERROR(TRIM(LEFT(발주발송관리!T6,FIND(" ",발주발송관리!T6)-1)),0)</f>
        <v>피치피치</v>
      </c>
      <c r="E6" s="16" t="str">
        <f>IFERROR(MID(발주발송관리!T6,FIND(" ",발주발송관리!T6)+1,LEN(발주발송관리!T6)-FIND(" ",발주발송관리!T6)+1),0)</f>
        <v>구름후리스팬츠 XS-XL 25겨울</v>
      </c>
      <c r="F6" s="16" t="str">
        <f>발주발송관리!W6</f>
        <v>색상: 크림 / 사이즈: L</v>
      </c>
      <c r="G6" s="11">
        <f>발주발송관리!Y6</f>
        <v>1</v>
      </c>
      <c r="H6" s="17">
        <f>발주발송관리!Z6/1.6</f>
        <v>0</v>
      </c>
      <c r="I6" s="10"/>
      <c r="J6" s="10"/>
      <c r="K6" s="11"/>
      <c r="L6" s="11"/>
      <c r="M6" s="16" t="str">
        <f>IF(발주발송관리!M6=R6,0,발주발송관리!M6&amp;T6&amp;S6&amp;U6)</f>
        <v>이지영(화성)</v>
      </c>
      <c r="N6" s="16" t="str">
        <f>발주발송관리!AZ6</f>
        <v>010-4581-7145</v>
      </c>
      <c r="O6" s="16" t="str">
        <f>발주발송관리!AW6</f>
        <v>경기도 화성시 동탄순환대로20길 69 (목동) 경남아너스빌22단지 2253동 1701호</v>
      </c>
      <c r="P6" s="18"/>
      <c r="Q6" s="18">
        <f>발주발송관리!BB6</f>
        <v>0</v>
      </c>
      <c r="S6" s="20" t="str">
        <f t="shared" si="1"/>
        <v>화성</v>
      </c>
      <c r="T6" s="20" t="s">
        <v>275</v>
      </c>
      <c r="U6" s="20" t="s">
        <v>285</v>
      </c>
      <c r="V6" s="24" t="s">
        <v>263</v>
      </c>
      <c r="W6" s="25" t="s">
        <v>70</v>
      </c>
    </row>
    <row r="7" spans="1:23" ht="15" customHeight="1">
      <c r="A7" s="9" t="s">
        <v>295</v>
      </c>
      <c r="B7" s="9" t="s">
        <v>296</v>
      </c>
      <c r="C7" s="16">
        <f t="shared" si="0"/>
        <v>0</v>
      </c>
      <c r="D7" s="16">
        <f>IFERROR(TRIM(LEFT(발주발송관리!T7,FIND(" ",발주발송관리!T7)-1)),0)</f>
        <v>0</v>
      </c>
      <c r="E7" s="16">
        <f>IFERROR(MID(발주발송관리!T7,FIND(" ",발주발송관리!T7)+1,LEN(발주발송관리!T7)-FIND(" ",발주발송관리!T7)+1),0)</f>
        <v>0</v>
      </c>
      <c r="F7" s="16">
        <f>발주발송관리!W7</f>
        <v>0</v>
      </c>
      <c r="G7" s="11">
        <f>발주발송관리!Y7</f>
        <v>0</v>
      </c>
      <c r="H7" s="17">
        <f>발주발송관리!Z7/1.6</f>
        <v>0</v>
      </c>
      <c r="I7" s="10"/>
      <c r="J7" s="10"/>
      <c r="K7" s="11"/>
      <c r="L7" s="11"/>
      <c r="M7" s="16">
        <f>IF(발주발송관리!M7=R7,0,발주발송관리!M7&amp;T7&amp;S7&amp;U7)</f>
        <v>0</v>
      </c>
      <c r="N7" s="16">
        <f>발주발송관리!AZ7</f>
        <v>0</v>
      </c>
      <c r="O7" s="16">
        <f>발주발송관리!AW7</f>
        <v>0</v>
      </c>
      <c r="P7" s="18"/>
      <c r="Q7" s="18">
        <f>발주발송관리!BB7</f>
        <v>0</v>
      </c>
      <c r="S7" s="20" t="str">
        <f t="shared" si="1"/>
        <v/>
      </c>
      <c r="T7" s="20" t="s">
        <v>275</v>
      </c>
      <c r="U7" s="20" t="s">
        <v>285</v>
      </c>
      <c r="V7" s="24" t="s">
        <v>264</v>
      </c>
      <c r="W7" s="25" t="s">
        <v>71</v>
      </c>
    </row>
    <row r="8" spans="1:23" ht="15" customHeight="1">
      <c r="A8" s="9" t="s">
        <v>295</v>
      </c>
      <c r="B8" s="9" t="s">
        <v>296</v>
      </c>
      <c r="C8" s="16">
        <f t="shared" si="0"/>
        <v>0</v>
      </c>
      <c r="D8" s="16">
        <f>IFERROR(TRIM(LEFT(발주발송관리!T8,FIND(" ",발주발송관리!T8)-1)),0)</f>
        <v>0</v>
      </c>
      <c r="E8" s="16">
        <f>IFERROR(MID(발주발송관리!T8,FIND(" ",발주발송관리!T8)+1,LEN(발주발송관리!T8)-FIND(" ",발주발송관리!T8)+1),0)</f>
        <v>0</v>
      </c>
      <c r="F8" s="16">
        <f>발주발송관리!W8</f>
        <v>0</v>
      </c>
      <c r="G8" s="11">
        <f>발주발송관리!Y8</f>
        <v>0</v>
      </c>
      <c r="H8" s="17">
        <f>발주발송관리!Z8/1.6</f>
        <v>0</v>
      </c>
      <c r="I8" s="10"/>
      <c r="J8" s="10"/>
      <c r="K8" s="11"/>
      <c r="L8" s="11"/>
      <c r="M8" s="16">
        <f>IF(발주발송관리!M8=R8,0,발주발송관리!M8&amp;T8&amp;S8&amp;U8)</f>
        <v>0</v>
      </c>
      <c r="N8" s="16">
        <f>발주발송관리!AZ8</f>
        <v>0</v>
      </c>
      <c r="O8" s="16">
        <f>발주발송관리!AW8</f>
        <v>0</v>
      </c>
      <c r="P8" s="18"/>
      <c r="Q8" s="18">
        <f>발주발송관리!BB8</f>
        <v>0</v>
      </c>
      <c r="S8" s="20" t="str">
        <f t="shared" si="1"/>
        <v/>
      </c>
      <c r="T8" s="20" t="s">
        <v>275</v>
      </c>
      <c r="U8" s="20" t="s">
        <v>285</v>
      </c>
      <c r="V8" s="24" t="s">
        <v>265</v>
      </c>
      <c r="W8" s="25" t="s">
        <v>72</v>
      </c>
    </row>
    <row r="9" spans="1:23" ht="15.75" customHeight="1">
      <c r="A9" s="9" t="s">
        <v>295</v>
      </c>
      <c r="B9" s="9" t="s">
        <v>296</v>
      </c>
      <c r="C9" s="16">
        <f t="shared" si="0"/>
        <v>0</v>
      </c>
      <c r="D9" s="16">
        <f>IFERROR(TRIM(LEFT(발주발송관리!T9,FIND(" ",발주발송관리!T9)-1)),0)</f>
        <v>0</v>
      </c>
      <c r="E9" s="16">
        <f>IFERROR(MID(발주발송관리!T9,FIND(" ",발주발송관리!T9)+1,LEN(발주발송관리!T9)-FIND(" ",발주발송관리!T9)+1),0)</f>
        <v>0</v>
      </c>
      <c r="F9" s="16">
        <f>발주발송관리!W9</f>
        <v>0</v>
      </c>
      <c r="G9" s="11">
        <f>발주발송관리!Y9</f>
        <v>0</v>
      </c>
      <c r="H9" s="17">
        <f>발주발송관리!Z9/1.6</f>
        <v>0</v>
      </c>
      <c r="I9" s="10"/>
      <c r="J9" s="10"/>
      <c r="K9" s="11"/>
      <c r="L9" s="11"/>
      <c r="M9" s="16">
        <f>IF(발주발송관리!M9=R9,0,발주발송관리!M9&amp;T9&amp;S9&amp;U9)</f>
        <v>0</v>
      </c>
      <c r="N9" s="16">
        <f>발주발송관리!AZ9</f>
        <v>0</v>
      </c>
      <c r="O9" s="16">
        <f>발주발송관리!AW9</f>
        <v>0</v>
      </c>
      <c r="P9" s="18"/>
      <c r="Q9" s="18">
        <f>발주발송관리!BB9</f>
        <v>0</v>
      </c>
      <c r="S9" s="20" t="str">
        <f t="shared" si="1"/>
        <v/>
      </c>
      <c r="T9" s="20" t="s">
        <v>275</v>
      </c>
      <c r="U9" s="20" t="s">
        <v>285</v>
      </c>
      <c r="V9" s="25" t="s">
        <v>73</v>
      </c>
      <c r="W9" s="25" t="s">
        <v>73</v>
      </c>
    </row>
    <row r="10" spans="1:23" ht="15.75" customHeight="1">
      <c r="A10" s="9" t="s">
        <v>295</v>
      </c>
      <c r="B10" s="9" t="s">
        <v>296</v>
      </c>
      <c r="C10" s="16">
        <f t="shared" si="0"/>
        <v>0</v>
      </c>
      <c r="D10" s="16">
        <f>IFERROR(TRIM(LEFT(발주발송관리!T10,FIND(" ",발주발송관리!T10)-1)),0)</f>
        <v>0</v>
      </c>
      <c r="E10" s="16">
        <f>IFERROR(MID(발주발송관리!T10,FIND(" ",발주발송관리!T10)+1,LEN(발주발송관리!T10)-FIND(" ",발주발송관리!T10)+1),0)</f>
        <v>0</v>
      </c>
      <c r="F10" s="16">
        <f>발주발송관리!W10</f>
        <v>0</v>
      </c>
      <c r="G10" s="11">
        <f>발주발송관리!Y10</f>
        <v>0</v>
      </c>
      <c r="H10" s="17">
        <f>발주발송관리!Z10/1.6</f>
        <v>0</v>
      </c>
      <c r="I10" s="10"/>
      <c r="J10" s="10"/>
      <c r="K10" s="11"/>
      <c r="L10" s="11"/>
      <c r="M10" s="16">
        <f>IF(발주발송관리!M10=R10,0,발주발송관리!M10&amp;T10&amp;S10&amp;U10)</f>
        <v>0</v>
      </c>
      <c r="N10" s="16">
        <f>발주발송관리!AZ10</f>
        <v>0</v>
      </c>
      <c r="O10" s="16">
        <f>발주발송관리!AW10</f>
        <v>0</v>
      </c>
      <c r="P10" s="18"/>
      <c r="Q10" s="18">
        <f>발주발송관리!BB10</f>
        <v>0</v>
      </c>
      <c r="S10" s="20" t="str">
        <f t="shared" si="1"/>
        <v/>
      </c>
      <c r="T10" s="20" t="s">
        <v>275</v>
      </c>
      <c r="U10" s="20" t="s">
        <v>285</v>
      </c>
      <c r="V10" s="25" t="s">
        <v>74</v>
      </c>
      <c r="W10" s="25" t="s">
        <v>74</v>
      </c>
    </row>
    <row r="11" spans="1:23" ht="19.5" customHeight="1">
      <c r="A11" s="9" t="s">
        <v>295</v>
      </c>
      <c r="B11" s="9" t="s">
        <v>296</v>
      </c>
      <c r="C11" s="16">
        <f t="shared" si="0"/>
        <v>0</v>
      </c>
      <c r="D11" s="16">
        <f>IFERROR(TRIM(LEFT(발주발송관리!T11,FIND(" ",발주발송관리!T11)-1)),0)</f>
        <v>0</v>
      </c>
      <c r="E11" s="16">
        <f>IFERROR(MID(발주발송관리!T11,FIND(" ",발주발송관리!T11)+1,LEN(발주발송관리!T11)-FIND(" ",발주발송관리!T11)+1),0)</f>
        <v>0</v>
      </c>
      <c r="F11" s="16">
        <f>발주발송관리!W11</f>
        <v>0</v>
      </c>
      <c r="G11" s="11">
        <f>발주발송관리!Y11</f>
        <v>0</v>
      </c>
      <c r="H11" s="17">
        <f>발주발송관리!Z11/1.6</f>
        <v>0</v>
      </c>
      <c r="I11" s="10"/>
      <c r="J11" s="10"/>
      <c r="K11" s="11"/>
      <c r="L11" s="11"/>
      <c r="M11" s="16">
        <f>IF(발주발송관리!M11=R11,0,발주발송관리!M11&amp;T11&amp;S11&amp;U11)</f>
        <v>0</v>
      </c>
      <c r="N11" s="16">
        <f>발주발송관리!AZ11</f>
        <v>0</v>
      </c>
      <c r="O11" s="16">
        <f>발주발송관리!AW11</f>
        <v>0</v>
      </c>
      <c r="P11" s="18"/>
      <c r="Q11" s="18">
        <f>발주발송관리!BB11</f>
        <v>0</v>
      </c>
      <c r="S11" s="20" t="str">
        <f t="shared" si="1"/>
        <v/>
      </c>
      <c r="T11" s="20" t="s">
        <v>275</v>
      </c>
      <c r="U11" s="20" t="s">
        <v>285</v>
      </c>
      <c r="V11" s="25" t="s">
        <v>75</v>
      </c>
      <c r="W11" s="25" t="s">
        <v>75</v>
      </c>
    </row>
    <row r="12" spans="1:23" ht="16.5" customHeight="1">
      <c r="A12" s="9" t="s">
        <v>295</v>
      </c>
      <c r="B12" s="9" t="s">
        <v>296</v>
      </c>
      <c r="C12" s="16">
        <f t="shared" si="0"/>
        <v>0</v>
      </c>
      <c r="D12" s="16">
        <f>IFERROR(TRIM(LEFT(발주발송관리!T12,FIND(" ",발주발송관리!T12)-1)),0)</f>
        <v>0</v>
      </c>
      <c r="E12" s="16">
        <f>IFERROR(MID(발주발송관리!T12,FIND(" ",발주발송관리!T12)+1,LEN(발주발송관리!T12)-FIND(" ",발주발송관리!T12)+1),0)</f>
        <v>0</v>
      </c>
      <c r="F12" s="16">
        <f>발주발송관리!W12</f>
        <v>0</v>
      </c>
      <c r="G12" s="11">
        <f>발주발송관리!Y12</f>
        <v>0</v>
      </c>
      <c r="H12" s="17">
        <f>발주발송관리!Z12/1.6</f>
        <v>0</v>
      </c>
      <c r="I12" s="10"/>
      <c r="J12" s="10"/>
      <c r="K12" s="11"/>
      <c r="L12" s="11"/>
      <c r="M12" s="16">
        <f>IF(발주발송관리!M12=R12,0,발주발송관리!M12&amp;T12&amp;S12&amp;U12)</f>
        <v>0</v>
      </c>
      <c r="N12" s="16">
        <f>발주발송관리!AZ12</f>
        <v>0</v>
      </c>
      <c r="O12" s="16">
        <f>발주발송관리!AW12</f>
        <v>0</v>
      </c>
      <c r="P12" s="18"/>
      <c r="Q12" s="18">
        <f>발주발송관리!BB12</f>
        <v>0</v>
      </c>
      <c r="S12" s="20" t="str">
        <f t="shared" si="1"/>
        <v/>
      </c>
      <c r="T12" s="20" t="s">
        <v>275</v>
      </c>
      <c r="U12" s="20" t="s">
        <v>285</v>
      </c>
      <c r="V12" s="25" t="s">
        <v>76</v>
      </c>
      <c r="W12" s="25" t="s">
        <v>76</v>
      </c>
    </row>
    <row r="13" spans="1:23" ht="18" customHeight="1">
      <c r="A13" s="9" t="s">
        <v>295</v>
      </c>
      <c r="B13" s="9" t="s">
        <v>296</v>
      </c>
      <c r="C13" s="16">
        <f t="shared" si="0"/>
        <v>0</v>
      </c>
      <c r="D13" s="16">
        <f>IFERROR(TRIM(LEFT(발주발송관리!T13,FIND(" ",발주발송관리!T13)-1)),0)</f>
        <v>0</v>
      </c>
      <c r="E13" s="16">
        <f>IFERROR(MID(발주발송관리!T13,FIND(" ",발주발송관리!T13)+1,LEN(발주발송관리!T13)-FIND(" ",발주발송관리!T13)+1),0)</f>
        <v>0</v>
      </c>
      <c r="F13" s="16">
        <f>발주발송관리!W13</f>
        <v>0</v>
      </c>
      <c r="G13" s="11">
        <f>발주발송관리!Y13</f>
        <v>0</v>
      </c>
      <c r="H13" s="17">
        <f>발주발송관리!Z13/1.6</f>
        <v>0</v>
      </c>
      <c r="I13" s="10"/>
      <c r="J13" s="10"/>
      <c r="K13" s="11"/>
      <c r="L13" s="11"/>
      <c r="M13" s="16">
        <f>IF(발주발송관리!M13=R13,0,발주발송관리!M13&amp;T13&amp;S13&amp;U13)</f>
        <v>0</v>
      </c>
      <c r="N13" s="16">
        <f>발주발송관리!AZ13</f>
        <v>0</v>
      </c>
      <c r="O13" s="16">
        <f>발주발송관리!AW13</f>
        <v>0</v>
      </c>
      <c r="P13" s="18"/>
      <c r="Q13" s="18">
        <f>발주발송관리!BB13</f>
        <v>0</v>
      </c>
      <c r="S13" s="20" t="str">
        <f t="shared" si="1"/>
        <v/>
      </c>
      <c r="T13" s="20" t="s">
        <v>275</v>
      </c>
      <c r="U13" s="20" t="s">
        <v>285</v>
      </c>
      <c r="V13" s="25" t="s">
        <v>77</v>
      </c>
      <c r="W13" s="25" t="s">
        <v>77</v>
      </c>
    </row>
    <row r="14" spans="1:23" ht="16.5" customHeight="1">
      <c r="A14" s="9" t="s">
        <v>295</v>
      </c>
      <c r="B14" s="9" t="s">
        <v>296</v>
      </c>
      <c r="C14" s="16">
        <f t="shared" si="0"/>
        <v>0</v>
      </c>
      <c r="D14" s="16">
        <f>IFERROR(TRIM(LEFT(발주발송관리!T14,FIND(" ",발주발송관리!T14)-1)),0)</f>
        <v>0</v>
      </c>
      <c r="E14" s="16">
        <f>IFERROR(MID(발주발송관리!T14,FIND(" ",발주발송관리!T14)+1,LEN(발주발송관리!T14)-FIND(" ",발주발송관리!T14)+1),0)</f>
        <v>0</v>
      </c>
      <c r="F14" s="16">
        <f>발주발송관리!W14</f>
        <v>0</v>
      </c>
      <c r="G14" s="11">
        <f>발주발송관리!Y14</f>
        <v>0</v>
      </c>
      <c r="H14" s="17">
        <f>발주발송관리!Z14/1.6</f>
        <v>0</v>
      </c>
      <c r="I14" s="10"/>
      <c r="J14" s="10"/>
      <c r="K14" s="11"/>
      <c r="L14" s="11"/>
      <c r="M14" s="16">
        <f>IF(발주발송관리!M14=R14,0,발주발송관리!M14&amp;T14&amp;S14&amp;U14)</f>
        <v>0</v>
      </c>
      <c r="N14" s="16">
        <f>발주발송관리!AZ14</f>
        <v>0</v>
      </c>
      <c r="O14" s="16">
        <f>발주발송관리!AW14</f>
        <v>0</v>
      </c>
      <c r="P14" s="18"/>
      <c r="Q14" s="18">
        <f>발주발송관리!BB14</f>
        <v>0</v>
      </c>
      <c r="S14" s="20" t="str">
        <f t="shared" si="1"/>
        <v/>
      </c>
      <c r="T14" s="20" t="s">
        <v>275</v>
      </c>
      <c r="U14" s="20" t="s">
        <v>285</v>
      </c>
      <c r="V14" s="25" t="s">
        <v>78</v>
      </c>
      <c r="W14" s="25" t="s">
        <v>78</v>
      </c>
    </row>
    <row r="15" spans="1:23" ht="17.25" customHeight="1">
      <c r="A15" s="9" t="s">
        <v>295</v>
      </c>
      <c r="B15" s="9" t="s">
        <v>296</v>
      </c>
      <c r="C15" s="16">
        <f t="shared" si="0"/>
        <v>0</v>
      </c>
      <c r="D15" s="16">
        <f>IFERROR(TRIM(LEFT(발주발송관리!T15,FIND(" ",발주발송관리!T15)-1)),0)</f>
        <v>0</v>
      </c>
      <c r="E15" s="16">
        <f>IFERROR(MID(발주발송관리!T15,FIND(" ",발주발송관리!T15)+1,LEN(발주발송관리!T15)-FIND(" ",발주발송관리!T15)+1),0)</f>
        <v>0</v>
      </c>
      <c r="F15" s="16">
        <f>발주발송관리!W15</f>
        <v>0</v>
      </c>
      <c r="G15" s="11">
        <f>발주발송관리!Y15</f>
        <v>0</v>
      </c>
      <c r="H15" s="17">
        <f>발주발송관리!Z15/1.6</f>
        <v>0</v>
      </c>
      <c r="I15" s="10"/>
      <c r="J15" s="10"/>
      <c r="K15" s="11"/>
      <c r="L15" s="11"/>
      <c r="M15" s="16">
        <f>IF(발주발송관리!M15=R15,0,발주발송관리!M15&amp;T15&amp;S15&amp;U15)</f>
        <v>0</v>
      </c>
      <c r="N15" s="16">
        <f>발주발송관리!AZ15</f>
        <v>0</v>
      </c>
      <c r="O15" s="16">
        <f>발주발송관리!AW15</f>
        <v>0</v>
      </c>
      <c r="P15" s="18"/>
      <c r="Q15" s="18">
        <f>발주발송관리!BB15</f>
        <v>0</v>
      </c>
      <c r="S15" s="20" t="str">
        <f t="shared" si="1"/>
        <v/>
      </c>
      <c r="T15" s="20" t="s">
        <v>275</v>
      </c>
      <c r="U15" s="20" t="s">
        <v>285</v>
      </c>
      <c r="V15" s="25" t="s">
        <v>79</v>
      </c>
      <c r="W15" s="25" t="s">
        <v>79</v>
      </c>
    </row>
    <row r="16" spans="1:23" ht="17.25" customHeight="1">
      <c r="A16" s="9" t="s">
        <v>295</v>
      </c>
      <c r="B16" s="9" t="s">
        <v>296</v>
      </c>
      <c r="C16" s="16">
        <f t="shared" si="0"/>
        <v>0</v>
      </c>
      <c r="D16" s="16">
        <f>IFERROR(TRIM(LEFT(발주발송관리!T16,FIND(" ",발주발송관리!T16)-1)),0)</f>
        <v>0</v>
      </c>
      <c r="E16" s="16">
        <f>IFERROR(MID(발주발송관리!T16,FIND(" ",발주발송관리!T16)+1,LEN(발주발송관리!T16)-FIND(" ",발주발송관리!T16)+1),0)</f>
        <v>0</v>
      </c>
      <c r="F16" s="16">
        <f>발주발송관리!W16</f>
        <v>0</v>
      </c>
      <c r="G16" s="11">
        <f>발주발송관리!Y16</f>
        <v>0</v>
      </c>
      <c r="H16" s="17">
        <f>발주발송관리!Z16/1.6</f>
        <v>0</v>
      </c>
      <c r="I16" s="10"/>
      <c r="J16" s="10"/>
      <c r="K16" s="11"/>
      <c r="L16" s="11"/>
      <c r="M16" s="16">
        <f>IF(발주발송관리!M16=R16,0,발주발송관리!M16&amp;T16&amp;S16&amp;U16)</f>
        <v>0</v>
      </c>
      <c r="N16" s="16">
        <f>발주발송관리!AZ16</f>
        <v>0</v>
      </c>
      <c r="O16" s="16">
        <f>발주발송관리!AW16</f>
        <v>0</v>
      </c>
      <c r="P16" s="18"/>
      <c r="Q16" s="18">
        <f>발주발송관리!BB16</f>
        <v>0</v>
      </c>
      <c r="S16" s="20" t="str">
        <f t="shared" si="1"/>
        <v/>
      </c>
      <c r="T16" s="20" t="s">
        <v>275</v>
      </c>
      <c r="U16" s="20" t="s">
        <v>285</v>
      </c>
      <c r="V16" s="25" t="s">
        <v>80</v>
      </c>
      <c r="W16" s="25" t="s">
        <v>80</v>
      </c>
    </row>
    <row r="17" spans="1:23" ht="17.25" customHeight="1">
      <c r="A17" s="9" t="s">
        <v>295</v>
      </c>
      <c r="B17" s="9" t="s">
        <v>296</v>
      </c>
      <c r="C17" s="16">
        <f t="shared" si="0"/>
        <v>0</v>
      </c>
      <c r="D17" s="16">
        <f>IFERROR(TRIM(LEFT(발주발송관리!T17,FIND(" ",발주발송관리!T17)-1)),0)</f>
        <v>0</v>
      </c>
      <c r="E17" s="16">
        <f>IFERROR(MID(발주발송관리!T17,FIND(" ",발주발송관리!T17)+1,LEN(발주발송관리!T17)-FIND(" ",발주발송관리!T17)+1),0)</f>
        <v>0</v>
      </c>
      <c r="F17" s="16">
        <f>발주발송관리!W17</f>
        <v>0</v>
      </c>
      <c r="G17" s="11">
        <f>발주발송관리!Y17</f>
        <v>0</v>
      </c>
      <c r="H17" s="17">
        <f>발주발송관리!Z17/1.6</f>
        <v>0</v>
      </c>
      <c r="I17" s="10"/>
      <c r="J17" s="10"/>
      <c r="K17" s="11"/>
      <c r="L17" s="11"/>
      <c r="M17" s="16">
        <f>IF(발주발송관리!M17=R17,0,발주발송관리!M17&amp;T17&amp;S17&amp;U17)</f>
        <v>0</v>
      </c>
      <c r="N17" s="16">
        <f>발주발송관리!AZ17</f>
        <v>0</v>
      </c>
      <c r="O17" s="16">
        <f>발주발송관리!AW17</f>
        <v>0</v>
      </c>
      <c r="P17" s="18"/>
      <c r="Q17" s="18">
        <f>발주발송관리!BB17</f>
        <v>0</v>
      </c>
      <c r="S17" s="20" t="str">
        <f t="shared" si="1"/>
        <v/>
      </c>
      <c r="T17" s="20" t="s">
        <v>275</v>
      </c>
      <c r="U17" s="20" t="s">
        <v>285</v>
      </c>
      <c r="V17" s="25" t="s">
        <v>81</v>
      </c>
      <c r="W17" s="25" t="s">
        <v>81</v>
      </c>
    </row>
    <row r="18" spans="1:23" ht="16.5" customHeight="1">
      <c r="A18" s="9" t="s">
        <v>295</v>
      </c>
      <c r="B18" s="9" t="s">
        <v>296</v>
      </c>
      <c r="C18" s="16">
        <f t="shared" si="0"/>
        <v>0</v>
      </c>
      <c r="D18" s="16">
        <f>IFERROR(TRIM(LEFT(발주발송관리!T18,FIND(" ",발주발송관리!T18)-1)),0)</f>
        <v>0</v>
      </c>
      <c r="E18" s="16">
        <f>IFERROR(MID(발주발송관리!T18,FIND(" ",발주발송관리!T18)+1,LEN(발주발송관리!T18)-FIND(" ",발주발송관리!T18)+1),0)</f>
        <v>0</v>
      </c>
      <c r="F18" s="16">
        <f>발주발송관리!W18</f>
        <v>0</v>
      </c>
      <c r="G18" s="11">
        <f>발주발송관리!Y18</f>
        <v>0</v>
      </c>
      <c r="H18" s="17">
        <f>발주발송관리!Z18/1.6</f>
        <v>0</v>
      </c>
      <c r="I18" s="10"/>
      <c r="J18" s="10"/>
      <c r="K18" s="11"/>
      <c r="L18" s="11"/>
      <c r="M18" s="16">
        <f>IF(발주발송관리!M18=R18,0,발주발송관리!M18&amp;T18&amp;S18&amp;U18)</f>
        <v>0</v>
      </c>
      <c r="N18" s="16">
        <f>발주발송관리!AZ18</f>
        <v>0</v>
      </c>
      <c r="O18" s="16">
        <f>발주발송관리!AW18</f>
        <v>0</v>
      </c>
      <c r="P18" s="18"/>
      <c r="Q18" s="18">
        <f>발주발송관리!BB18</f>
        <v>0</v>
      </c>
      <c r="S18" s="20" t="str">
        <f t="shared" si="1"/>
        <v/>
      </c>
      <c r="T18" s="20" t="s">
        <v>275</v>
      </c>
      <c r="U18" s="20" t="s">
        <v>285</v>
      </c>
      <c r="V18" s="25" t="s">
        <v>82</v>
      </c>
      <c r="W18" s="25" t="s">
        <v>82</v>
      </c>
    </row>
    <row r="19" spans="1:23" ht="16.5" customHeight="1">
      <c r="A19" s="9" t="s">
        <v>295</v>
      </c>
      <c r="B19" s="9" t="s">
        <v>296</v>
      </c>
      <c r="C19" s="16">
        <f t="shared" si="0"/>
        <v>0</v>
      </c>
      <c r="D19" s="16">
        <f>IFERROR(TRIM(LEFT(발주발송관리!T19,FIND(" ",발주발송관리!T19)-1)),0)</f>
        <v>0</v>
      </c>
      <c r="E19" s="16">
        <f>IFERROR(MID(발주발송관리!T19,FIND(" ",발주발송관리!T19)+1,LEN(발주발송관리!T19)-FIND(" ",발주발송관리!T19)+1),0)</f>
        <v>0</v>
      </c>
      <c r="F19" s="16">
        <f>발주발송관리!W19</f>
        <v>0</v>
      </c>
      <c r="G19" s="11">
        <f>발주발송관리!Y19</f>
        <v>0</v>
      </c>
      <c r="H19" s="17">
        <f>발주발송관리!Z19/1.6</f>
        <v>0</v>
      </c>
      <c r="I19" s="10"/>
      <c r="J19" s="10"/>
      <c r="K19" s="11"/>
      <c r="L19" s="11"/>
      <c r="M19" s="16">
        <f>IF(발주발송관리!M19=R19,0,발주발송관리!M19&amp;T19&amp;S19&amp;U19)</f>
        <v>0</v>
      </c>
      <c r="N19" s="16">
        <f>발주발송관리!AZ19</f>
        <v>0</v>
      </c>
      <c r="O19" s="16">
        <f>발주발송관리!AW19</f>
        <v>0</v>
      </c>
      <c r="P19" s="18"/>
      <c r="Q19" s="18">
        <f>발주발송관리!BB19</f>
        <v>0</v>
      </c>
      <c r="S19" s="20" t="str">
        <f t="shared" si="1"/>
        <v/>
      </c>
      <c r="T19" s="20" t="s">
        <v>275</v>
      </c>
      <c r="U19" s="20" t="s">
        <v>285</v>
      </c>
      <c r="V19" s="25" t="s">
        <v>83</v>
      </c>
      <c r="W19" s="25" t="s">
        <v>83</v>
      </c>
    </row>
    <row r="20" spans="1:23" ht="15" customHeight="1">
      <c r="A20" s="9" t="s">
        <v>295</v>
      </c>
      <c r="B20" s="9" t="s">
        <v>296</v>
      </c>
      <c r="C20" s="16">
        <f t="shared" si="0"/>
        <v>0</v>
      </c>
      <c r="D20" s="16">
        <f>IFERROR(TRIM(LEFT(발주발송관리!T20,FIND(" ",발주발송관리!T20)-1)),0)</f>
        <v>0</v>
      </c>
      <c r="E20" s="16">
        <f>IFERROR(MID(발주발송관리!T20,FIND(" ",발주발송관리!T20)+1,LEN(발주발송관리!T20)-FIND(" ",발주발송관리!T20)+1),0)</f>
        <v>0</v>
      </c>
      <c r="F20" s="16">
        <f>발주발송관리!W20</f>
        <v>0</v>
      </c>
      <c r="G20" s="11">
        <f>발주발송관리!Y20</f>
        <v>0</v>
      </c>
      <c r="H20" s="17">
        <f>발주발송관리!Z20/1.6</f>
        <v>0</v>
      </c>
      <c r="I20" s="10"/>
      <c r="J20" s="10"/>
      <c r="K20" s="11"/>
      <c r="L20" s="11"/>
      <c r="M20" s="16">
        <f>IF(발주발송관리!M20=R20,0,발주발송관리!M20&amp;T20&amp;S20&amp;U20)</f>
        <v>0</v>
      </c>
      <c r="N20" s="16">
        <f>발주발송관리!AZ20</f>
        <v>0</v>
      </c>
      <c r="O20" s="16">
        <f>발주발송관리!AW20</f>
        <v>0</v>
      </c>
      <c r="P20" s="18"/>
      <c r="Q20" s="18">
        <f>발주발송관리!BB20</f>
        <v>0</v>
      </c>
      <c r="S20" s="20" t="str">
        <f t="shared" si="1"/>
        <v/>
      </c>
      <c r="T20" s="20" t="s">
        <v>275</v>
      </c>
      <c r="U20" s="20" t="s">
        <v>285</v>
      </c>
      <c r="V20" s="25" t="s">
        <v>84</v>
      </c>
      <c r="W20" s="25" t="s">
        <v>84</v>
      </c>
    </row>
    <row r="21" spans="1:23" ht="15.75" customHeight="1">
      <c r="A21" s="9" t="s">
        <v>295</v>
      </c>
      <c r="B21" s="9" t="s">
        <v>296</v>
      </c>
      <c r="C21" s="16">
        <f t="shared" si="0"/>
        <v>0</v>
      </c>
      <c r="D21" s="16">
        <f>IFERROR(TRIM(LEFT(발주발송관리!T21,FIND(" ",발주발송관리!T21)-1)),0)</f>
        <v>0</v>
      </c>
      <c r="E21" s="16">
        <f>IFERROR(MID(발주발송관리!T21,FIND(" ",발주발송관리!T21)+1,LEN(발주발송관리!T21)-FIND(" ",발주발송관리!T21)+1),0)</f>
        <v>0</v>
      </c>
      <c r="F21" s="16">
        <f>발주발송관리!W21</f>
        <v>0</v>
      </c>
      <c r="G21" s="11">
        <f>발주발송관리!Y21</f>
        <v>0</v>
      </c>
      <c r="H21" s="17">
        <f>발주발송관리!Z21/1.6</f>
        <v>0</v>
      </c>
      <c r="I21" s="10"/>
      <c r="J21" s="10"/>
      <c r="K21" s="11"/>
      <c r="L21" s="11"/>
      <c r="M21" s="16">
        <f>IF(발주발송관리!M21=R21,0,발주발송관리!M21&amp;T21&amp;S21&amp;U21)</f>
        <v>0</v>
      </c>
      <c r="N21" s="16">
        <f>발주발송관리!AZ21</f>
        <v>0</v>
      </c>
      <c r="O21" s="16">
        <f>발주발송관리!AW21</f>
        <v>0</v>
      </c>
      <c r="P21" s="18"/>
      <c r="Q21" s="18">
        <f>발주발송관리!BB21</f>
        <v>0</v>
      </c>
      <c r="S21" s="20" t="str">
        <f t="shared" si="1"/>
        <v/>
      </c>
      <c r="T21" s="20" t="s">
        <v>275</v>
      </c>
      <c r="U21" s="20" t="s">
        <v>285</v>
      </c>
      <c r="V21" s="25" t="s">
        <v>85</v>
      </c>
      <c r="W21" s="25" t="s">
        <v>85</v>
      </c>
    </row>
    <row r="22" spans="1:23" ht="13.5">
      <c r="A22" s="9" t="s">
        <v>295</v>
      </c>
      <c r="B22" s="9" t="s">
        <v>296</v>
      </c>
      <c r="C22" s="16">
        <f t="shared" si="0"/>
        <v>0</v>
      </c>
      <c r="D22" s="16">
        <f>IFERROR(TRIM(LEFT(발주발송관리!T22,FIND(" ",발주발송관리!T22)-1)),0)</f>
        <v>0</v>
      </c>
      <c r="E22" s="16">
        <f>IFERROR(MID(발주발송관리!T22,FIND(" ",발주발송관리!T22)+1,LEN(발주발송관리!T22)-FIND(" ",발주발송관리!T22)+1),0)</f>
        <v>0</v>
      </c>
      <c r="F22" s="16">
        <f>발주발송관리!W22</f>
        <v>0</v>
      </c>
      <c r="G22" s="11">
        <f>발주발송관리!Y22</f>
        <v>0</v>
      </c>
      <c r="H22" s="17">
        <f>발주발송관리!Z22/1.6</f>
        <v>0</v>
      </c>
      <c r="I22" s="10"/>
      <c r="J22" s="10"/>
      <c r="K22" s="11"/>
      <c r="L22" s="11"/>
      <c r="M22" s="16">
        <f>IF(발주발송관리!M22=R22,0,발주발송관리!M22&amp;T22&amp;S22&amp;U22)</f>
        <v>0</v>
      </c>
      <c r="N22" s="16">
        <f>발주발송관리!AZ22</f>
        <v>0</v>
      </c>
      <c r="O22" s="16">
        <f>발주발송관리!AW22</f>
        <v>0</v>
      </c>
      <c r="P22" s="18"/>
      <c r="Q22" s="18">
        <f>발주발송관리!BB22</f>
        <v>0</v>
      </c>
      <c r="S22" s="20" t="str">
        <f t="shared" si="1"/>
        <v/>
      </c>
      <c r="T22" s="20" t="s">
        <v>275</v>
      </c>
      <c r="U22" s="20" t="s">
        <v>285</v>
      </c>
      <c r="V22" s="25" t="s">
        <v>86</v>
      </c>
      <c r="W22" s="25" t="s">
        <v>86</v>
      </c>
    </row>
    <row r="23" spans="1:23" ht="13.5">
      <c r="A23" s="9" t="s">
        <v>295</v>
      </c>
      <c r="B23" s="9" t="s">
        <v>296</v>
      </c>
      <c r="C23" s="16">
        <f t="shared" si="0"/>
        <v>0</v>
      </c>
      <c r="D23" s="16">
        <f>IFERROR(TRIM(LEFT(발주발송관리!T23,FIND(" ",발주발송관리!T23)-1)),0)</f>
        <v>0</v>
      </c>
      <c r="E23" s="16">
        <f>IFERROR(MID(발주발송관리!T23,FIND(" ",발주발송관리!T23)+1,LEN(발주발송관리!T23)-FIND(" ",발주발송관리!T23)+1),0)</f>
        <v>0</v>
      </c>
      <c r="F23" s="16">
        <f>발주발송관리!W23</f>
        <v>0</v>
      </c>
      <c r="G23" s="11">
        <f>발주발송관리!Y23</f>
        <v>0</v>
      </c>
      <c r="H23" s="17">
        <f>발주발송관리!Z23/1.6</f>
        <v>0</v>
      </c>
      <c r="I23" s="10"/>
      <c r="J23" s="10"/>
      <c r="K23" s="11"/>
      <c r="L23" s="11"/>
      <c r="M23" s="16">
        <f>IF(발주발송관리!M23=R23,0,발주발송관리!M23&amp;T23&amp;S23&amp;U23)</f>
        <v>0</v>
      </c>
      <c r="N23" s="16">
        <f>발주발송관리!AZ23</f>
        <v>0</v>
      </c>
      <c r="O23" s="16">
        <f>발주발송관리!AW23</f>
        <v>0</v>
      </c>
      <c r="P23" s="18"/>
      <c r="Q23" s="18">
        <f>발주발송관리!BB23</f>
        <v>0</v>
      </c>
      <c r="S23" s="20" t="str">
        <f t="shared" si="1"/>
        <v/>
      </c>
      <c r="T23" s="20" t="s">
        <v>275</v>
      </c>
      <c r="U23" s="20" t="s">
        <v>285</v>
      </c>
      <c r="V23" s="25" t="s">
        <v>87</v>
      </c>
      <c r="W23" s="25" t="s">
        <v>87</v>
      </c>
    </row>
    <row r="24" spans="1:23" ht="13.5">
      <c r="A24" s="9" t="s">
        <v>295</v>
      </c>
      <c r="B24" s="9" t="s">
        <v>296</v>
      </c>
      <c r="C24" s="16">
        <f t="shared" si="0"/>
        <v>0</v>
      </c>
      <c r="D24" s="16">
        <f>IFERROR(TRIM(LEFT(발주발송관리!T24,FIND(" ",발주발송관리!T24)-1)),0)</f>
        <v>0</v>
      </c>
      <c r="E24" s="16">
        <f>IFERROR(MID(발주발송관리!T24,FIND(" ",발주발송관리!T24)+1,LEN(발주발송관리!T24)-FIND(" ",발주발송관리!T24)+1),0)</f>
        <v>0</v>
      </c>
      <c r="F24" s="16">
        <f>발주발송관리!W24</f>
        <v>0</v>
      </c>
      <c r="G24" s="11">
        <f>발주발송관리!Y24</f>
        <v>0</v>
      </c>
      <c r="H24" s="17">
        <f>발주발송관리!Z24/1.6</f>
        <v>0</v>
      </c>
      <c r="I24" s="10"/>
      <c r="J24" s="10"/>
      <c r="K24" s="11"/>
      <c r="L24" s="11"/>
      <c r="M24" s="16">
        <f>IF(발주발송관리!M24=R24,0,발주발송관리!M24&amp;T24&amp;S24&amp;U24)</f>
        <v>0</v>
      </c>
      <c r="N24" s="16">
        <f>발주발송관리!AZ24</f>
        <v>0</v>
      </c>
      <c r="O24" s="16">
        <f>발주발송관리!AW24</f>
        <v>0</v>
      </c>
      <c r="P24" s="18"/>
      <c r="Q24" s="18">
        <f>발주발송관리!BB24</f>
        <v>0</v>
      </c>
      <c r="S24" s="20" t="str">
        <f t="shared" si="1"/>
        <v/>
      </c>
      <c r="T24" s="20" t="s">
        <v>275</v>
      </c>
      <c r="U24" s="20" t="s">
        <v>285</v>
      </c>
      <c r="V24" s="25" t="s">
        <v>88</v>
      </c>
      <c r="W24" s="25" t="s">
        <v>88</v>
      </c>
    </row>
    <row r="25" spans="1:23" ht="13.5">
      <c r="A25" s="9" t="s">
        <v>295</v>
      </c>
      <c r="B25" s="9" t="s">
        <v>296</v>
      </c>
      <c r="C25" s="16">
        <f t="shared" si="0"/>
        <v>0</v>
      </c>
      <c r="D25" s="16">
        <f>IFERROR(TRIM(LEFT(발주발송관리!T25,FIND(" ",발주발송관리!T25)-1)),0)</f>
        <v>0</v>
      </c>
      <c r="E25" s="16">
        <f>IFERROR(MID(발주발송관리!T25,FIND(" ",발주발송관리!T25)+1,LEN(발주발송관리!T25)-FIND(" ",발주발송관리!T25)+1),0)</f>
        <v>0</v>
      </c>
      <c r="F25" s="16">
        <f>발주발송관리!W25</f>
        <v>0</v>
      </c>
      <c r="G25" s="11">
        <f>발주발송관리!Y25</f>
        <v>0</v>
      </c>
      <c r="H25" s="17">
        <f>발주발송관리!Z25/1.6</f>
        <v>0</v>
      </c>
      <c r="I25" s="10"/>
      <c r="J25" s="10"/>
      <c r="K25" s="11"/>
      <c r="L25" s="11"/>
      <c r="M25" s="16">
        <f>IF(발주발송관리!M25=R25,0,발주발송관리!M25&amp;T25&amp;S25&amp;U25)</f>
        <v>0</v>
      </c>
      <c r="N25" s="16">
        <f>발주발송관리!AZ25</f>
        <v>0</v>
      </c>
      <c r="O25" s="16">
        <f>발주발송관리!AW25</f>
        <v>0</v>
      </c>
      <c r="P25" s="18"/>
      <c r="Q25" s="18">
        <f>발주발송관리!BB25</f>
        <v>0</v>
      </c>
      <c r="S25" s="20" t="str">
        <f t="shared" si="1"/>
        <v/>
      </c>
      <c r="T25" s="20" t="s">
        <v>275</v>
      </c>
      <c r="U25" s="20" t="s">
        <v>285</v>
      </c>
      <c r="V25" s="25" t="s">
        <v>89</v>
      </c>
      <c r="W25" s="25" t="s">
        <v>89</v>
      </c>
    </row>
    <row r="26" spans="1:23" ht="13.5">
      <c r="A26" s="9" t="s">
        <v>295</v>
      </c>
      <c r="B26" s="9" t="s">
        <v>296</v>
      </c>
      <c r="C26" s="16">
        <f t="shared" si="0"/>
        <v>0</v>
      </c>
      <c r="D26" s="16">
        <f>IFERROR(TRIM(LEFT(발주발송관리!T26,FIND(" ",발주발송관리!T26)-1)),0)</f>
        <v>0</v>
      </c>
      <c r="E26" s="16">
        <f>IFERROR(MID(발주발송관리!T26,FIND(" ",발주발송관리!T26)+1,LEN(발주발송관리!T26)-FIND(" ",발주발송관리!T26)+1),0)</f>
        <v>0</v>
      </c>
      <c r="F26" s="16">
        <f>발주발송관리!W26</f>
        <v>0</v>
      </c>
      <c r="G26" s="11">
        <f>발주발송관리!Y26</f>
        <v>0</v>
      </c>
      <c r="H26" s="17">
        <f>발주발송관리!Z26/1.6</f>
        <v>0</v>
      </c>
      <c r="I26" s="10"/>
      <c r="J26" s="10"/>
      <c r="K26" s="11"/>
      <c r="L26" s="11"/>
      <c r="M26" s="16">
        <f>IF(발주발송관리!M26=R26,0,발주발송관리!M26&amp;T26&amp;S26&amp;U26)</f>
        <v>0</v>
      </c>
      <c r="N26" s="16">
        <f>발주발송관리!AZ26</f>
        <v>0</v>
      </c>
      <c r="O26" s="16">
        <f>발주발송관리!AW26</f>
        <v>0</v>
      </c>
      <c r="P26" s="18"/>
      <c r="Q26" s="18">
        <f>발주발송관리!BB26</f>
        <v>0</v>
      </c>
      <c r="S26" s="20" t="str">
        <f t="shared" si="1"/>
        <v/>
      </c>
      <c r="T26" s="20" t="s">
        <v>275</v>
      </c>
      <c r="U26" s="20" t="s">
        <v>285</v>
      </c>
      <c r="V26" s="25" t="s">
        <v>90</v>
      </c>
      <c r="W26" s="25" t="s">
        <v>90</v>
      </c>
    </row>
    <row r="27" spans="1:23" ht="12.75" customHeight="1">
      <c r="A27" s="9" t="s">
        <v>295</v>
      </c>
      <c r="B27" s="9" t="s">
        <v>296</v>
      </c>
      <c r="C27" s="16">
        <f t="shared" si="0"/>
        <v>0</v>
      </c>
      <c r="D27" s="16">
        <f>IFERROR(TRIM(LEFT(발주발송관리!T27,FIND(" ",발주발송관리!T27)-1)),0)</f>
        <v>0</v>
      </c>
      <c r="E27" s="16">
        <f>IFERROR(MID(발주발송관리!T27,FIND(" ",발주발송관리!T27)+1,LEN(발주발송관리!T27)-FIND(" ",발주발송관리!T27)+1),0)</f>
        <v>0</v>
      </c>
      <c r="F27" s="16">
        <f>발주발송관리!W27</f>
        <v>0</v>
      </c>
      <c r="G27" s="11">
        <f>발주발송관리!Y27</f>
        <v>0</v>
      </c>
      <c r="H27" s="17">
        <f>발주발송관리!Z27/1.6</f>
        <v>0</v>
      </c>
      <c r="I27" s="10"/>
      <c r="J27" s="10"/>
      <c r="K27" s="11"/>
      <c r="L27" s="11"/>
      <c r="M27" s="16">
        <f>IF(발주발송관리!M27=R27,0,발주발송관리!M27&amp;T27&amp;S27&amp;U27)</f>
        <v>0</v>
      </c>
      <c r="N27" s="16">
        <f>발주발송관리!AZ27</f>
        <v>0</v>
      </c>
      <c r="O27" s="16">
        <f>발주발송관리!AW27</f>
        <v>0</v>
      </c>
      <c r="P27" s="18"/>
      <c r="Q27" s="18">
        <f>발주발송관리!BB27</f>
        <v>0</v>
      </c>
      <c r="S27" s="20" t="str">
        <f t="shared" si="1"/>
        <v/>
      </c>
      <c r="T27" s="20" t="s">
        <v>275</v>
      </c>
      <c r="U27" s="20" t="s">
        <v>285</v>
      </c>
      <c r="V27" s="25" t="s">
        <v>91</v>
      </c>
      <c r="W27" s="25" t="s">
        <v>91</v>
      </c>
    </row>
    <row r="28" spans="1:23" ht="13.5">
      <c r="A28" s="9" t="s">
        <v>295</v>
      </c>
      <c r="B28" s="9" t="s">
        <v>296</v>
      </c>
      <c r="C28" s="16">
        <f t="shared" si="0"/>
        <v>0</v>
      </c>
      <c r="D28" s="16">
        <f>IFERROR(TRIM(LEFT(발주발송관리!T28,FIND(" ",발주발송관리!T28)-1)),0)</f>
        <v>0</v>
      </c>
      <c r="E28" s="16">
        <f>IFERROR(MID(발주발송관리!T28,FIND(" ",발주발송관리!T28)+1,LEN(발주발송관리!T28)-FIND(" ",발주발송관리!T28)+1),0)</f>
        <v>0</v>
      </c>
      <c r="F28" s="16">
        <f>발주발송관리!W28</f>
        <v>0</v>
      </c>
      <c r="G28" s="11">
        <f>발주발송관리!Y28</f>
        <v>0</v>
      </c>
      <c r="H28" s="17">
        <f>발주발송관리!Z28/1.6</f>
        <v>0</v>
      </c>
      <c r="I28" s="10"/>
      <c r="J28" s="10"/>
      <c r="K28" s="11"/>
      <c r="L28" s="11"/>
      <c r="M28" s="16">
        <f>IF(발주발송관리!M28=R28,0,발주발송관리!M28&amp;T28&amp;S28&amp;U28)</f>
        <v>0</v>
      </c>
      <c r="N28" s="16">
        <f>발주발송관리!AZ28</f>
        <v>0</v>
      </c>
      <c r="O28" s="16">
        <f>발주발송관리!AW28</f>
        <v>0</v>
      </c>
      <c r="P28" s="18"/>
      <c r="Q28" s="18">
        <f>발주발송관리!BB28</f>
        <v>0</v>
      </c>
      <c r="S28" s="20" t="str">
        <f t="shared" si="1"/>
        <v/>
      </c>
      <c r="T28" s="20" t="s">
        <v>275</v>
      </c>
      <c r="U28" s="20" t="s">
        <v>285</v>
      </c>
      <c r="V28" s="25" t="s">
        <v>92</v>
      </c>
      <c r="W28" s="25" t="s">
        <v>92</v>
      </c>
    </row>
    <row r="29" spans="1:23" ht="13.5">
      <c r="A29" s="9" t="s">
        <v>295</v>
      </c>
      <c r="B29" s="9" t="s">
        <v>296</v>
      </c>
      <c r="C29" s="16">
        <f t="shared" si="0"/>
        <v>0</v>
      </c>
      <c r="D29" s="16">
        <f>IFERROR(TRIM(LEFT(발주발송관리!T29,FIND(" ",발주발송관리!T29)-1)),0)</f>
        <v>0</v>
      </c>
      <c r="E29" s="16">
        <f>IFERROR(MID(발주발송관리!T29,FIND(" ",발주발송관리!T29)+1,LEN(발주발송관리!T29)-FIND(" ",발주발송관리!T29)+1),0)</f>
        <v>0</v>
      </c>
      <c r="F29" s="16">
        <f>발주발송관리!W29</f>
        <v>0</v>
      </c>
      <c r="G29" s="11">
        <f>발주발송관리!Y29</f>
        <v>0</v>
      </c>
      <c r="H29" s="17">
        <f>발주발송관리!Z29/1.6</f>
        <v>0</v>
      </c>
      <c r="I29" s="10"/>
      <c r="J29" s="10"/>
      <c r="K29" s="11"/>
      <c r="L29" s="11"/>
      <c r="M29" s="16">
        <f>IF(발주발송관리!M29=R29,0,발주발송관리!M29&amp;T29&amp;S29&amp;U29)</f>
        <v>0</v>
      </c>
      <c r="N29" s="16">
        <f>발주발송관리!AZ29</f>
        <v>0</v>
      </c>
      <c r="O29" s="16">
        <f>발주발송관리!AW29</f>
        <v>0</v>
      </c>
      <c r="P29" s="18"/>
      <c r="Q29" s="18">
        <f>발주발송관리!BB29</f>
        <v>0</v>
      </c>
      <c r="S29" s="20" t="str">
        <f t="shared" si="1"/>
        <v/>
      </c>
      <c r="T29" s="20" t="s">
        <v>275</v>
      </c>
      <c r="U29" s="20" t="s">
        <v>285</v>
      </c>
      <c r="V29" s="25" t="s">
        <v>93</v>
      </c>
      <c r="W29" s="25" t="s">
        <v>93</v>
      </c>
    </row>
    <row r="30" spans="1:23" ht="13.5">
      <c r="A30" s="9" t="s">
        <v>295</v>
      </c>
      <c r="B30" s="9" t="s">
        <v>296</v>
      </c>
      <c r="C30" s="16">
        <f t="shared" si="0"/>
        <v>0</v>
      </c>
      <c r="D30" s="16">
        <f>IFERROR(TRIM(LEFT(발주발송관리!T30,FIND(" ",발주발송관리!T30)-1)),0)</f>
        <v>0</v>
      </c>
      <c r="E30" s="16">
        <f>IFERROR(MID(발주발송관리!T30,FIND(" ",발주발송관리!T30)+1,LEN(발주발송관리!T30)-FIND(" ",발주발송관리!T30)+1),0)</f>
        <v>0</v>
      </c>
      <c r="F30" s="16">
        <f>발주발송관리!W30</f>
        <v>0</v>
      </c>
      <c r="G30" s="11">
        <f>발주발송관리!Y30</f>
        <v>0</v>
      </c>
      <c r="H30" s="17">
        <f>발주발송관리!Z30/1.6</f>
        <v>0</v>
      </c>
      <c r="I30" s="10"/>
      <c r="J30" s="10"/>
      <c r="K30" s="11"/>
      <c r="L30" s="11"/>
      <c r="M30" s="16">
        <f>IF(발주발송관리!M30=R30,0,발주발송관리!M30&amp;T30&amp;S30&amp;U30)</f>
        <v>0</v>
      </c>
      <c r="N30" s="16">
        <f>발주발송관리!AZ30</f>
        <v>0</v>
      </c>
      <c r="O30" s="16">
        <f>발주발송관리!AW30</f>
        <v>0</v>
      </c>
      <c r="P30" s="18"/>
      <c r="Q30" s="18">
        <f>발주발송관리!BB30</f>
        <v>0</v>
      </c>
      <c r="S30" s="20" t="str">
        <f t="shared" si="1"/>
        <v/>
      </c>
      <c r="T30" s="20" t="s">
        <v>275</v>
      </c>
      <c r="U30" s="20" t="s">
        <v>285</v>
      </c>
      <c r="V30" s="25" t="s">
        <v>94</v>
      </c>
      <c r="W30" s="25" t="s">
        <v>94</v>
      </c>
    </row>
    <row r="31" spans="1:23" ht="13.5">
      <c r="A31" s="9" t="s">
        <v>295</v>
      </c>
      <c r="B31" s="9" t="s">
        <v>296</v>
      </c>
      <c r="C31" s="16">
        <f t="shared" si="0"/>
        <v>0</v>
      </c>
      <c r="D31" s="16">
        <f>IFERROR(TRIM(LEFT(발주발송관리!T31,FIND(" ",발주발송관리!T31)-1)),0)</f>
        <v>0</v>
      </c>
      <c r="E31" s="16">
        <f>IFERROR(MID(발주발송관리!T31,FIND(" ",발주발송관리!T31)+1,LEN(발주발송관리!T31)-FIND(" ",발주발송관리!T31)+1),0)</f>
        <v>0</v>
      </c>
      <c r="F31" s="16">
        <f>발주발송관리!W31</f>
        <v>0</v>
      </c>
      <c r="G31" s="11">
        <f>발주발송관리!Y31</f>
        <v>0</v>
      </c>
      <c r="H31" s="17">
        <f>발주발송관리!Z31/1.6</f>
        <v>0</v>
      </c>
      <c r="I31" s="10"/>
      <c r="J31" s="10"/>
      <c r="K31" s="11"/>
      <c r="L31" s="11"/>
      <c r="M31" s="16">
        <f>IF(발주발송관리!M31=R31,0,발주발송관리!M31&amp;T31&amp;S31&amp;U31)</f>
        <v>0</v>
      </c>
      <c r="N31" s="16">
        <f>발주발송관리!AZ31</f>
        <v>0</v>
      </c>
      <c r="O31" s="16">
        <f>발주발송관리!AW31</f>
        <v>0</v>
      </c>
      <c r="P31" s="18"/>
      <c r="Q31" s="18">
        <f>발주발송관리!BB31</f>
        <v>0</v>
      </c>
      <c r="S31" s="20" t="str">
        <f t="shared" si="1"/>
        <v/>
      </c>
      <c r="T31" s="20" t="s">
        <v>275</v>
      </c>
      <c r="U31" s="20" t="s">
        <v>285</v>
      </c>
      <c r="V31" s="25" t="s">
        <v>70</v>
      </c>
      <c r="W31" s="25" t="s">
        <v>70</v>
      </c>
    </row>
    <row r="32" spans="1:23" ht="13.5">
      <c r="A32" s="9" t="s">
        <v>295</v>
      </c>
      <c r="B32" s="9" t="s">
        <v>296</v>
      </c>
      <c r="C32" s="16">
        <f t="shared" si="0"/>
        <v>0</v>
      </c>
      <c r="D32" s="16">
        <f>IFERROR(TRIM(LEFT(발주발송관리!T32,FIND(" ",발주발송관리!T32)-1)),0)</f>
        <v>0</v>
      </c>
      <c r="E32" s="16">
        <f>IFERROR(MID(발주발송관리!T32,FIND(" ",발주발송관리!T32)+1,LEN(발주발송관리!T32)-FIND(" ",발주발송관리!T32)+1),0)</f>
        <v>0</v>
      </c>
      <c r="F32" s="16">
        <f>발주발송관리!W32</f>
        <v>0</v>
      </c>
      <c r="G32" s="11">
        <f>발주발송관리!Y32</f>
        <v>0</v>
      </c>
      <c r="H32" s="17">
        <f>발주발송관리!Z32/1.6</f>
        <v>0</v>
      </c>
      <c r="I32" s="10"/>
      <c r="J32" s="10"/>
      <c r="K32" s="11"/>
      <c r="L32" s="11"/>
      <c r="M32" s="16">
        <f>IF(발주발송관리!M32=R32,0,발주발송관리!M32&amp;T32&amp;S32&amp;U32)</f>
        <v>0</v>
      </c>
      <c r="N32" s="16">
        <f>발주발송관리!AZ32</f>
        <v>0</v>
      </c>
      <c r="O32" s="16">
        <f>발주발송관리!AW32</f>
        <v>0</v>
      </c>
      <c r="P32" s="18"/>
      <c r="Q32" s="18">
        <f>발주발송관리!BB32</f>
        <v>0</v>
      </c>
      <c r="S32" s="20" t="str">
        <f t="shared" si="1"/>
        <v/>
      </c>
      <c r="T32" s="20" t="s">
        <v>275</v>
      </c>
      <c r="U32" s="20" t="s">
        <v>285</v>
      </c>
      <c r="V32" s="25" t="s">
        <v>95</v>
      </c>
      <c r="W32" s="25" t="s">
        <v>95</v>
      </c>
    </row>
    <row r="33" spans="1:23" ht="13.5">
      <c r="A33" s="9" t="s">
        <v>295</v>
      </c>
      <c r="B33" s="9" t="s">
        <v>296</v>
      </c>
      <c r="C33" s="16">
        <f t="shared" si="0"/>
        <v>0</v>
      </c>
      <c r="D33" s="16">
        <f>IFERROR(TRIM(LEFT(발주발송관리!T33,FIND(" ",발주발송관리!T33)-1)),0)</f>
        <v>0</v>
      </c>
      <c r="E33" s="16">
        <f>IFERROR(MID(발주발송관리!T33,FIND(" ",발주발송관리!T33)+1,LEN(발주발송관리!T33)-FIND(" ",발주발송관리!T33)+1),0)</f>
        <v>0</v>
      </c>
      <c r="F33" s="16">
        <f>발주발송관리!W33</f>
        <v>0</v>
      </c>
      <c r="G33" s="11">
        <f>발주발송관리!Y33</f>
        <v>0</v>
      </c>
      <c r="H33" s="17">
        <f>발주발송관리!Z33/1.6</f>
        <v>0</v>
      </c>
      <c r="I33" s="10"/>
      <c r="J33" s="10"/>
      <c r="K33" s="11"/>
      <c r="L33" s="11"/>
      <c r="M33" s="16">
        <f>IF(발주발송관리!M33=R33,0,발주발송관리!M33&amp;T33&amp;S33&amp;U33)</f>
        <v>0</v>
      </c>
      <c r="N33" s="16">
        <f>발주발송관리!AZ33</f>
        <v>0</v>
      </c>
      <c r="O33" s="16">
        <f>발주발송관리!AW33</f>
        <v>0</v>
      </c>
      <c r="P33" s="18"/>
      <c r="Q33" s="18">
        <f>발주발송관리!BB33</f>
        <v>0</v>
      </c>
      <c r="S33" s="20" t="str">
        <f t="shared" si="1"/>
        <v/>
      </c>
      <c r="T33" s="20" t="s">
        <v>275</v>
      </c>
      <c r="U33" s="20" t="s">
        <v>285</v>
      </c>
      <c r="V33" s="25" t="s">
        <v>96</v>
      </c>
      <c r="W33" s="25" t="s">
        <v>96</v>
      </c>
    </row>
    <row r="34" spans="1:23" ht="13.5">
      <c r="A34" s="9" t="s">
        <v>295</v>
      </c>
      <c r="B34" s="9" t="s">
        <v>296</v>
      </c>
      <c r="C34" s="16">
        <f t="shared" si="0"/>
        <v>0</v>
      </c>
      <c r="D34" s="16">
        <f>IFERROR(TRIM(LEFT(발주발송관리!T34,FIND(" ",발주발송관리!T34)-1)),0)</f>
        <v>0</v>
      </c>
      <c r="E34" s="16">
        <f>IFERROR(MID(발주발송관리!T34,FIND(" ",발주발송관리!T34)+1,LEN(발주발송관리!T34)-FIND(" ",발주발송관리!T34)+1),0)</f>
        <v>0</v>
      </c>
      <c r="F34" s="16">
        <f>발주발송관리!W34</f>
        <v>0</v>
      </c>
      <c r="G34" s="11">
        <f>발주발송관리!Y34</f>
        <v>0</v>
      </c>
      <c r="H34" s="17">
        <f>발주발송관리!Z34/1.6</f>
        <v>0</v>
      </c>
      <c r="I34" s="10"/>
      <c r="J34" s="10"/>
      <c r="K34" s="11"/>
      <c r="L34" s="11"/>
      <c r="M34" s="16">
        <f>IF(발주발송관리!M34=R34,0,발주발송관리!M34&amp;T34&amp;S34&amp;U34)</f>
        <v>0</v>
      </c>
      <c r="N34" s="16">
        <f>발주발송관리!AZ34</f>
        <v>0</v>
      </c>
      <c r="O34" s="16">
        <f>발주발송관리!AW34</f>
        <v>0</v>
      </c>
      <c r="P34" s="18"/>
      <c r="Q34" s="18">
        <f>발주발송관리!BB34</f>
        <v>0</v>
      </c>
      <c r="S34" s="20" t="str">
        <f t="shared" si="1"/>
        <v/>
      </c>
      <c r="T34" s="20" t="s">
        <v>275</v>
      </c>
      <c r="U34" s="20" t="s">
        <v>285</v>
      </c>
      <c r="V34" s="25" t="s">
        <v>97</v>
      </c>
      <c r="W34" s="25" t="s">
        <v>97</v>
      </c>
    </row>
    <row r="35" spans="1:23" ht="13.5">
      <c r="A35" s="9" t="s">
        <v>295</v>
      </c>
      <c r="B35" s="9" t="s">
        <v>296</v>
      </c>
      <c r="C35" s="16">
        <f t="shared" si="0"/>
        <v>0</v>
      </c>
      <c r="D35" s="16">
        <f>IFERROR(TRIM(LEFT(발주발송관리!T35,FIND(" ",발주발송관리!T35)-1)),0)</f>
        <v>0</v>
      </c>
      <c r="E35" s="16">
        <f>IFERROR(MID(발주발송관리!T35,FIND(" ",발주발송관리!T35)+1,LEN(발주발송관리!T35)-FIND(" ",발주발송관리!T35)+1),0)</f>
        <v>0</v>
      </c>
      <c r="F35" s="16">
        <f>발주발송관리!W35</f>
        <v>0</v>
      </c>
      <c r="G35" s="11">
        <f>발주발송관리!Y35</f>
        <v>0</v>
      </c>
      <c r="H35" s="17">
        <f>발주발송관리!Z35/1.6</f>
        <v>0</v>
      </c>
      <c r="I35" s="10"/>
      <c r="J35" s="10"/>
      <c r="K35" s="11"/>
      <c r="L35" s="11"/>
      <c r="M35" s="16">
        <f>IF(발주발송관리!M35=R35,0,발주발송관리!M35&amp;T35&amp;S35&amp;U35)</f>
        <v>0</v>
      </c>
      <c r="N35" s="16">
        <f>발주발송관리!AZ35</f>
        <v>0</v>
      </c>
      <c r="O35" s="16">
        <f>발주발송관리!AW35</f>
        <v>0</v>
      </c>
      <c r="P35" s="18"/>
      <c r="Q35" s="18">
        <f>발주발송관리!BB35</f>
        <v>0</v>
      </c>
      <c r="S35" s="20" t="str">
        <f t="shared" si="1"/>
        <v/>
      </c>
      <c r="T35" s="20" t="s">
        <v>275</v>
      </c>
      <c r="U35" s="20" t="s">
        <v>285</v>
      </c>
      <c r="V35" s="25" t="s">
        <v>98</v>
      </c>
      <c r="W35" s="25" t="s">
        <v>98</v>
      </c>
    </row>
    <row r="36" spans="1:23" ht="13.5">
      <c r="A36" s="9" t="s">
        <v>295</v>
      </c>
      <c r="B36" s="9" t="s">
        <v>296</v>
      </c>
      <c r="C36" s="16">
        <f t="shared" si="0"/>
        <v>0</v>
      </c>
      <c r="D36" s="16">
        <f>IFERROR(TRIM(LEFT(발주발송관리!T36,FIND(" ",발주발송관리!T36)-1)),0)</f>
        <v>0</v>
      </c>
      <c r="E36" s="16">
        <f>IFERROR(MID(발주발송관리!T36,FIND(" ",발주발송관리!T36)+1,LEN(발주발송관리!T36)-FIND(" ",발주발송관리!T36)+1),0)</f>
        <v>0</v>
      </c>
      <c r="F36" s="16">
        <f>발주발송관리!W36</f>
        <v>0</v>
      </c>
      <c r="G36" s="11">
        <f>발주발송관리!Y36</f>
        <v>0</v>
      </c>
      <c r="H36" s="17">
        <f>발주발송관리!Z36/1.6</f>
        <v>0</v>
      </c>
      <c r="I36" s="10"/>
      <c r="J36" s="10"/>
      <c r="K36" s="11"/>
      <c r="L36" s="11"/>
      <c r="M36" s="16">
        <f>IF(발주발송관리!M36=R36,0,발주발송관리!M36&amp;T36&amp;S36&amp;U36)</f>
        <v>0</v>
      </c>
      <c r="N36" s="16">
        <f>발주발송관리!AZ36</f>
        <v>0</v>
      </c>
      <c r="O36" s="16">
        <f>발주발송관리!AW36</f>
        <v>0</v>
      </c>
      <c r="P36" s="18"/>
      <c r="Q36" s="18">
        <f>발주발송관리!BB36</f>
        <v>0</v>
      </c>
      <c r="S36" s="20" t="str">
        <f t="shared" si="1"/>
        <v/>
      </c>
      <c r="T36" s="20" t="s">
        <v>275</v>
      </c>
      <c r="U36" s="20" t="s">
        <v>285</v>
      </c>
      <c r="V36" s="25" t="s">
        <v>99</v>
      </c>
      <c r="W36" s="25" t="s">
        <v>99</v>
      </c>
    </row>
    <row r="37" spans="1:23" ht="13.5">
      <c r="A37" s="9" t="s">
        <v>295</v>
      </c>
      <c r="B37" s="9" t="s">
        <v>296</v>
      </c>
      <c r="C37" s="16">
        <f t="shared" si="0"/>
        <v>0</v>
      </c>
      <c r="D37" s="16">
        <f>IFERROR(TRIM(LEFT(발주발송관리!T37,FIND(" ",발주발송관리!T37)-1)),0)</f>
        <v>0</v>
      </c>
      <c r="E37" s="16">
        <f>IFERROR(MID(발주발송관리!T37,FIND(" ",발주발송관리!T37)+1,LEN(발주발송관리!T37)-FIND(" ",발주발송관리!T37)+1),0)</f>
        <v>0</v>
      </c>
      <c r="F37" s="16">
        <f>발주발송관리!W37</f>
        <v>0</v>
      </c>
      <c r="G37" s="11">
        <f>발주발송관리!Y37</f>
        <v>0</v>
      </c>
      <c r="H37" s="17">
        <f>발주발송관리!Z37/1.6</f>
        <v>0</v>
      </c>
      <c r="I37" s="10"/>
      <c r="J37" s="10"/>
      <c r="K37" s="11"/>
      <c r="L37" s="11"/>
      <c r="M37" s="16">
        <f>IF(발주발송관리!M37=R37,0,발주발송관리!M37&amp;T37&amp;S37&amp;U37)</f>
        <v>0</v>
      </c>
      <c r="N37" s="16">
        <f>발주발송관리!AZ37</f>
        <v>0</v>
      </c>
      <c r="O37" s="16">
        <f>발주발송관리!AW37</f>
        <v>0</v>
      </c>
      <c r="P37" s="18"/>
      <c r="Q37" s="18">
        <f>발주발송관리!BB37</f>
        <v>0</v>
      </c>
      <c r="S37" s="20" t="str">
        <f t="shared" si="1"/>
        <v/>
      </c>
      <c r="T37" s="20" t="s">
        <v>275</v>
      </c>
      <c r="U37" s="20" t="s">
        <v>285</v>
      </c>
      <c r="V37" s="25" t="s">
        <v>100</v>
      </c>
      <c r="W37" s="25" t="s">
        <v>100</v>
      </c>
    </row>
    <row r="38" spans="1:23" ht="15" customHeight="1">
      <c r="A38" s="9" t="s">
        <v>295</v>
      </c>
      <c r="B38" s="9" t="s">
        <v>296</v>
      </c>
      <c r="C38" s="16">
        <f t="shared" si="0"/>
        <v>0</v>
      </c>
      <c r="D38" s="16">
        <f>IFERROR(TRIM(LEFT(발주발송관리!T38,FIND(" ",발주발송관리!T38)-1)),0)</f>
        <v>0</v>
      </c>
      <c r="E38" s="16">
        <f>IFERROR(MID(발주발송관리!T38,FIND(" ",발주발송관리!T38)+1,LEN(발주발송관리!T38)-FIND(" ",발주발송관리!T38)+1),0)</f>
        <v>0</v>
      </c>
      <c r="F38" s="16">
        <f>발주발송관리!W38</f>
        <v>0</v>
      </c>
      <c r="G38" s="11">
        <f>발주발송관리!Y38</f>
        <v>0</v>
      </c>
      <c r="H38" s="17">
        <f>발주발송관리!Z38/1.6</f>
        <v>0</v>
      </c>
      <c r="I38" s="10"/>
      <c r="J38" s="10"/>
      <c r="K38" s="11"/>
      <c r="L38" s="11"/>
      <c r="M38" s="16">
        <f>IF(발주발송관리!M38=R38,0,발주발송관리!M38&amp;T38&amp;S38&amp;U38)</f>
        <v>0</v>
      </c>
      <c r="N38" s="16">
        <f>발주발송관리!AZ38</f>
        <v>0</v>
      </c>
      <c r="O38" s="16">
        <f>발주발송관리!AW38</f>
        <v>0</v>
      </c>
      <c r="P38" s="18"/>
      <c r="Q38" s="18">
        <f>발주발송관리!BB38</f>
        <v>0</v>
      </c>
      <c r="S38" s="20" t="str">
        <f t="shared" si="1"/>
        <v/>
      </c>
      <c r="T38" s="20" t="s">
        <v>275</v>
      </c>
      <c r="U38" s="20" t="s">
        <v>285</v>
      </c>
      <c r="V38" s="25" t="s">
        <v>101</v>
      </c>
      <c r="W38" s="25" t="s">
        <v>101</v>
      </c>
    </row>
    <row r="39" spans="1:23" ht="15" customHeight="1">
      <c r="A39" s="9" t="s">
        <v>295</v>
      </c>
      <c r="B39" s="9" t="s">
        <v>296</v>
      </c>
      <c r="C39" s="16">
        <f t="shared" si="0"/>
        <v>0</v>
      </c>
      <c r="D39" s="16">
        <f>IFERROR(TRIM(LEFT(발주발송관리!T39,FIND(" ",발주발송관리!T39)-1)),0)</f>
        <v>0</v>
      </c>
      <c r="E39" s="16">
        <f>IFERROR(MID(발주발송관리!T39,FIND(" ",발주발송관리!T39)+1,LEN(발주발송관리!T39)-FIND(" ",발주발송관리!T39)+1),0)</f>
        <v>0</v>
      </c>
      <c r="F39" s="16">
        <f>발주발송관리!W39</f>
        <v>0</v>
      </c>
      <c r="G39" s="11">
        <f>발주발송관리!Y39</f>
        <v>0</v>
      </c>
      <c r="H39" s="17">
        <f>발주발송관리!Z39/1.6</f>
        <v>0</v>
      </c>
      <c r="I39" s="10"/>
      <c r="J39" s="10"/>
      <c r="K39" s="11"/>
      <c r="L39" s="11"/>
      <c r="M39" s="16">
        <f>IF(발주발송관리!M39=R39,0,발주발송관리!M39&amp;T39&amp;S39&amp;U39)</f>
        <v>0</v>
      </c>
      <c r="N39" s="16">
        <f>발주발송관리!AZ39</f>
        <v>0</v>
      </c>
      <c r="O39" s="16">
        <f>발주발송관리!AW39</f>
        <v>0</v>
      </c>
      <c r="P39" s="18"/>
      <c r="Q39" s="18">
        <f>발주발송관리!BB39</f>
        <v>0</v>
      </c>
      <c r="S39" s="20" t="str">
        <f t="shared" si="1"/>
        <v/>
      </c>
      <c r="T39" s="20" t="s">
        <v>275</v>
      </c>
      <c r="U39" s="20" t="s">
        <v>285</v>
      </c>
      <c r="V39" s="25" t="s">
        <v>102</v>
      </c>
      <c r="W39" s="25" t="s">
        <v>102</v>
      </c>
    </row>
    <row r="40" spans="1:23" ht="13.5" customHeight="1">
      <c r="A40" s="9" t="s">
        <v>295</v>
      </c>
      <c r="B40" s="9" t="s">
        <v>296</v>
      </c>
      <c r="C40" s="16">
        <f t="shared" si="0"/>
        <v>0</v>
      </c>
      <c r="D40" s="16">
        <f>IFERROR(TRIM(LEFT(발주발송관리!T40,FIND(" ",발주발송관리!T40)-1)),0)</f>
        <v>0</v>
      </c>
      <c r="E40" s="16">
        <f>IFERROR(MID(발주발송관리!T40,FIND(" ",발주발송관리!T40)+1,LEN(발주발송관리!T40)-FIND(" ",발주발송관리!T40)+1),0)</f>
        <v>0</v>
      </c>
      <c r="F40" s="16">
        <f>발주발송관리!W40</f>
        <v>0</v>
      </c>
      <c r="G40" s="11">
        <f>발주발송관리!Y40</f>
        <v>0</v>
      </c>
      <c r="H40" s="17">
        <f>발주발송관리!Z40/1.6</f>
        <v>0</v>
      </c>
      <c r="I40" s="10"/>
      <c r="J40" s="10"/>
      <c r="K40" s="11"/>
      <c r="L40" s="11"/>
      <c r="M40" s="16">
        <f>IF(발주발송관리!M40=R40,0,발주발송관리!M40&amp;T40&amp;S40&amp;U40)</f>
        <v>0</v>
      </c>
      <c r="N40" s="16">
        <f>발주발송관리!AZ40</f>
        <v>0</v>
      </c>
      <c r="O40" s="16">
        <f>발주발송관리!AW40</f>
        <v>0</v>
      </c>
      <c r="P40" s="18"/>
      <c r="Q40" s="18">
        <f>발주발송관리!BB40</f>
        <v>0</v>
      </c>
      <c r="S40" s="20" t="str">
        <f t="shared" si="1"/>
        <v/>
      </c>
      <c r="T40" s="20" t="s">
        <v>275</v>
      </c>
      <c r="U40" s="20" t="s">
        <v>285</v>
      </c>
      <c r="V40" s="25" t="s">
        <v>103</v>
      </c>
      <c r="W40" s="25" t="s">
        <v>103</v>
      </c>
    </row>
    <row r="41" spans="1:23" ht="13.5" customHeight="1">
      <c r="A41" s="9" t="s">
        <v>295</v>
      </c>
      <c r="B41" s="9" t="s">
        <v>296</v>
      </c>
      <c r="C41" s="16">
        <f t="shared" si="0"/>
        <v>0</v>
      </c>
      <c r="D41" s="16">
        <f>IFERROR(TRIM(LEFT(발주발송관리!T41,FIND(" ",발주발송관리!T41)-1)),0)</f>
        <v>0</v>
      </c>
      <c r="E41" s="16">
        <f>IFERROR(MID(발주발송관리!T41,FIND(" ",발주발송관리!T41)+1,LEN(발주발송관리!T41)-FIND(" ",발주발송관리!T41)+1),0)</f>
        <v>0</v>
      </c>
      <c r="F41" s="16">
        <f>발주발송관리!W41</f>
        <v>0</v>
      </c>
      <c r="G41" s="11">
        <f>발주발송관리!Y41</f>
        <v>0</v>
      </c>
      <c r="H41" s="17">
        <f>발주발송관리!Z41/1.6</f>
        <v>0</v>
      </c>
      <c r="I41" s="10"/>
      <c r="J41" s="10"/>
      <c r="K41" s="11"/>
      <c r="L41" s="11"/>
      <c r="M41" s="16">
        <f>IF(발주발송관리!M41=R41,0,발주발송관리!M41&amp;T41&amp;S41&amp;U41)</f>
        <v>0</v>
      </c>
      <c r="N41" s="16">
        <f>발주발송관리!AZ41</f>
        <v>0</v>
      </c>
      <c r="O41" s="16">
        <f>발주발송관리!AW41</f>
        <v>0</v>
      </c>
      <c r="P41" s="18"/>
      <c r="Q41" s="18">
        <f>발주발송관리!BB41</f>
        <v>0</v>
      </c>
      <c r="S41" s="20" t="str">
        <f t="shared" si="1"/>
        <v/>
      </c>
      <c r="T41" s="20" t="s">
        <v>275</v>
      </c>
      <c r="U41" s="20" t="s">
        <v>285</v>
      </c>
      <c r="V41" s="25" t="s">
        <v>104</v>
      </c>
      <c r="W41" s="25" t="s">
        <v>104</v>
      </c>
    </row>
    <row r="42" spans="1:23" ht="15" customHeight="1">
      <c r="A42" s="9" t="s">
        <v>295</v>
      </c>
      <c r="B42" s="9" t="s">
        <v>296</v>
      </c>
      <c r="C42" s="16">
        <f t="shared" si="0"/>
        <v>0</v>
      </c>
      <c r="D42" s="16">
        <f>IFERROR(TRIM(LEFT(발주발송관리!T42,FIND(" ",발주발송관리!T42)-1)),0)</f>
        <v>0</v>
      </c>
      <c r="E42" s="16">
        <f>IFERROR(MID(발주발송관리!T42,FIND(" ",발주발송관리!T42)+1,LEN(발주발송관리!T42)-FIND(" ",발주발송관리!T42)+1),0)</f>
        <v>0</v>
      </c>
      <c r="F42" s="16">
        <f>발주발송관리!W42</f>
        <v>0</v>
      </c>
      <c r="G42" s="11">
        <f>발주발송관리!Y42</f>
        <v>0</v>
      </c>
      <c r="H42" s="17">
        <f>발주발송관리!Z42/1.6</f>
        <v>0</v>
      </c>
      <c r="I42" s="10"/>
      <c r="J42" s="10"/>
      <c r="K42" s="11"/>
      <c r="L42" s="11"/>
      <c r="M42" s="16">
        <f>IF(발주발송관리!M42=R42,0,발주발송관리!M42&amp;T42&amp;S42&amp;U42)</f>
        <v>0</v>
      </c>
      <c r="N42" s="16">
        <f>발주발송관리!AZ42</f>
        <v>0</v>
      </c>
      <c r="O42" s="16">
        <f>발주발송관리!AW42</f>
        <v>0</v>
      </c>
      <c r="P42" s="18"/>
      <c r="Q42" s="18">
        <f>발주발송관리!BB42</f>
        <v>0</v>
      </c>
      <c r="S42" s="20" t="str">
        <f t="shared" si="1"/>
        <v/>
      </c>
      <c r="T42" s="20" t="s">
        <v>275</v>
      </c>
      <c r="U42" s="20" t="s">
        <v>285</v>
      </c>
      <c r="V42" s="25" t="s">
        <v>105</v>
      </c>
      <c r="W42" s="25" t="s">
        <v>105</v>
      </c>
    </row>
    <row r="43" spans="1:23" ht="15.75" customHeight="1">
      <c r="A43" s="9" t="s">
        <v>295</v>
      </c>
      <c r="B43" s="9" t="s">
        <v>296</v>
      </c>
      <c r="C43" s="16">
        <f t="shared" si="0"/>
        <v>0</v>
      </c>
      <c r="D43" s="16">
        <f>IFERROR(TRIM(LEFT(발주발송관리!T43,FIND(" ",발주발송관리!T43)-1)),0)</f>
        <v>0</v>
      </c>
      <c r="E43" s="16">
        <f>IFERROR(MID(발주발송관리!T43,FIND(" ",발주발송관리!T43)+1,LEN(발주발송관리!T43)-FIND(" ",발주발송관리!T43)+1),0)</f>
        <v>0</v>
      </c>
      <c r="F43" s="16">
        <f>발주발송관리!W43</f>
        <v>0</v>
      </c>
      <c r="G43" s="11">
        <f>발주발송관리!Y43</f>
        <v>0</v>
      </c>
      <c r="H43" s="17">
        <f>발주발송관리!Z43/1.6</f>
        <v>0</v>
      </c>
      <c r="I43" s="10"/>
      <c r="J43" s="10"/>
      <c r="K43" s="11"/>
      <c r="L43" s="11"/>
      <c r="M43" s="16">
        <f>IF(발주발송관리!M43=R43,0,발주발송관리!M43&amp;T43&amp;S43&amp;U43)</f>
        <v>0</v>
      </c>
      <c r="N43" s="16">
        <f>발주발송관리!AZ43</f>
        <v>0</v>
      </c>
      <c r="O43" s="16">
        <f>발주발송관리!AW43</f>
        <v>0</v>
      </c>
      <c r="P43" s="18"/>
      <c r="Q43" s="18">
        <f>발주발송관리!BB43</f>
        <v>0</v>
      </c>
      <c r="S43" s="20" t="str">
        <f t="shared" si="1"/>
        <v/>
      </c>
      <c r="T43" s="20" t="s">
        <v>275</v>
      </c>
      <c r="U43" s="20" t="s">
        <v>285</v>
      </c>
      <c r="V43" s="25" t="s">
        <v>106</v>
      </c>
      <c r="W43" s="25" t="s">
        <v>106</v>
      </c>
    </row>
    <row r="44" spans="1:23" ht="14.25" customHeight="1">
      <c r="A44" s="9" t="s">
        <v>295</v>
      </c>
      <c r="B44" s="9" t="s">
        <v>296</v>
      </c>
      <c r="C44" s="16">
        <f t="shared" si="0"/>
        <v>0</v>
      </c>
      <c r="D44" s="16">
        <f>IFERROR(TRIM(LEFT(발주발송관리!T44,FIND(" ",발주발송관리!T44)-1)),0)</f>
        <v>0</v>
      </c>
      <c r="E44" s="16">
        <f>IFERROR(MID(발주발송관리!T44,FIND(" ",발주발송관리!T44)+1,LEN(발주발송관리!T44)-FIND(" ",발주발송관리!T44)+1),0)</f>
        <v>0</v>
      </c>
      <c r="F44" s="16">
        <f>발주발송관리!W44</f>
        <v>0</v>
      </c>
      <c r="G44" s="11">
        <f>발주발송관리!Y44</f>
        <v>0</v>
      </c>
      <c r="H44" s="17">
        <f>발주발송관리!Z44/1.6</f>
        <v>0</v>
      </c>
      <c r="I44" s="10"/>
      <c r="J44" s="10"/>
      <c r="K44" s="11"/>
      <c r="L44" s="11"/>
      <c r="M44" s="16">
        <f>IF(발주발송관리!M44=R44,0,발주발송관리!M44&amp;T44&amp;S44&amp;U44)</f>
        <v>0</v>
      </c>
      <c r="N44" s="16">
        <f>발주발송관리!AZ44</f>
        <v>0</v>
      </c>
      <c r="O44" s="16">
        <f>발주발송관리!AW44</f>
        <v>0</v>
      </c>
      <c r="P44" s="18"/>
      <c r="Q44" s="18">
        <f>발주발송관리!BB44</f>
        <v>0</v>
      </c>
      <c r="S44" s="20" t="str">
        <f t="shared" si="1"/>
        <v/>
      </c>
      <c r="T44" s="20" t="s">
        <v>275</v>
      </c>
      <c r="U44" s="20" t="s">
        <v>285</v>
      </c>
      <c r="V44" s="25" t="s">
        <v>107</v>
      </c>
      <c r="W44" s="25" t="s">
        <v>107</v>
      </c>
    </row>
    <row r="45" spans="1:23" ht="13.5">
      <c r="A45" s="9" t="s">
        <v>295</v>
      </c>
      <c r="B45" s="9" t="s">
        <v>296</v>
      </c>
      <c r="C45" s="16">
        <f t="shared" si="0"/>
        <v>0</v>
      </c>
      <c r="D45" s="16">
        <f>IFERROR(TRIM(LEFT(발주발송관리!T45,FIND(" ",발주발송관리!T45)-1)),0)</f>
        <v>0</v>
      </c>
      <c r="E45" s="16">
        <f>IFERROR(MID(발주발송관리!T45,FIND(" ",발주발송관리!T45)+1,LEN(발주발송관리!T45)-FIND(" ",발주발송관리!T45)+1),0)</f>
        <v>0</v>
      </c>
      <c r="F45" s="16">
        <f>발주발송관리!W45</f>
        <v>0</v>
      </c>
      <c r="G45" s="11">
        <f>발주발송관리!Y45</f>
        <v>0</v>
      </c>
      <c r="H45" s="17">
        <f>발주발송관리!Z45/1.6</f>
        <v>0</v>
      </c>
      <c r="I45" s="10"/>
      <c r="J45" s="10"/>
      <c r="K45" s="11"/>
      <c r="L45" s="11"/>
      <c r="M45" s="16">
        <f>IF(발주발송관리!M45=R45,0,발주발송관리!M45&amp;T45&amp;S45&amp;U45)</f>
        <v>0</v>
      </c>
      <c r="N45" s="16">
        <f>발주발송관리!AZ45</f>
        <v>0</v>
      </c>
      <c r="O45" s="16">
        <f>발주발송관리!AW45</f>
        <v>0</v>
      </c>
      <c r="P45" s="18"/>
      <c r="Q45" s="18">
        <f>발주발송관리!BB45</f>
        <v>0</v>
      </c>
      <c r="S45" s="20" t="str">
        <f t="shared" si="1"/>
        <v/>
      </c>
      <c r="T45" s="20" t="s">
        <v>275</v>
      </c>
      <c r="U45" s="20" t="s">
        <v>285</v>
      </c>
      <c r="V45" s="25" t="s">
        <v>108</v>
      </c>
      <c r="W45" s="25" t="s">
        <v>108</v>
      </c>
    </row>
    <row r="46" spans="1:23" ht="13.5">
      <c r="A46" s="9" t="s">
        <v>295</v>
      </c>
      <c r="B46" s="9" t="s">
        <v>296</v>
      </c>
      <c r="C46" s="16">
        <f t="shared" si="0"/>
        <v>0</v>
      </c>
      <c r="D46" s="16">
        <f>IFERROR(TRIM(LEFT(발주발송관리!T46,FIND(" ",발주발송관리!T46)-1)),0)</f>
        <v>0</v>
      </c>
      <c r="E46" s="16">
        <f>IFERROR(MID(발주발송관리!T46,FIND(" ",발주발송관리!T46)+1,LEN(발주발송관리!T46)-FIND(" ",발주발송관리!T46)+1),0)</f>
        <v>0</v>
      </c>
      <c r="F46" s="16">
        <f>발주발송관리!W46</f>
        <v>0</v>
      </c>
      <c r="G46" s="11">
        <f>발주발송관리!Y46</f>
        <v>0</v>
      </c>
      <c r="H46" s="17">
        <f>발주발송관리!Z46/1.6</f>
        <v>0</v>
      </c>
      <c r="I46" s="10"/>
      <c r="J46" s="10"/>
      <c r="K46" s="11"/>
      <c r="L46" s="11"/>
      <c r="M46" s="16">
        <f>IF(발주발송관리!M46=R46,0,발주발송관리!M46&amp;T46&amp;S46&amp;U46)</f>
        <v>0</v>
      </c>
      <c r="N46" s="16">
        <f>발주발송관리!AZ46</f>
        <v>0</v>
      </c>
      <c r="O46" s="16">
        <f>발주발송관리!AW46</f>
        <v>0</v>
      </c>
      <c r="P46" s="18"/>
      <c r="Q46" s="18">
        <f>발주발송관리!BB46</f>
        <v>0</v>
      </c>
      <c r="S46" s="20" t="str">
        <f t="shared" si="1"/>
        <v/>
      </c>
      <c r="T46" s="20" t="s">
        <v>275</v>
      </c>
      <c r="U46" s="20" t="s">
        <v>285</v>
      </c>
      <c r="V46" s="25" t="s">
        <v>109</v>
      </c>
      <c r="W46" s="25" t="s">
        <v>109</v>
      </c>
    </row>
    <row r="47" spans="1:23" ht="13.5">
      <c r="A47" s="9" t="s">
        <v>295</v>
      </c>
      <c r="B47" s="9" t="s">
        <v>296</v>
      </c>
      <c r="C47" s="16">
        <f t="shared" si="0"/>
        <v>0</v>
      </c>
      <c r="D47" s="16">
        <f>IFERROR(TRIM(LEFT(발주발송관리!T47,FIND(" ",발주발송관리!T47)-1)),0)</f>
        <v>0</v>
      </c>
      <c r="E47" s="16">
        <f>IFERROR(MID(발주발송관리!T47,FIND(" ",발주발송관리!T47)+1,LEN(발주발송관리!T47)-FIND(" ",발주발송관리!T47)+1),0)</f>
        <v>0</v>
      </c>
      <c r="F47" s="16">
        <f>발주발송관리!W47</f>
        <v>0</v>
      </c>
      <c r="G47" s="11">
        <f>발주발송관리!Y47</f>
        <v>0</v>
      </c>
      <c r="H47" s="17">
        <f>발주발송관리!Z47/1.6</f>
        <v>0</v>
      </c>
      <c r="I47" s="10"/>
      <c r="J47" s="10"/>
      <c r="K47" s="11"/>
      <c r="L47" s="11"/>
      <c r="M47" s="16">
        <f>IF(발주발송관리!M47=R47,0,발주발송관리!M47&amp;T47&amp;S47&amp;U47)</f>
        <v>0</v>
      </c>
      <c r="N47" s="16">
        <f>발주발송관리!AZ47</f>
        <v>0</v>
      </c>
      <c r="O47" s="16">
        <f>발주발송관리!AW47</f>
        <v>0</v>
      </c>
      <c r="P47" s="18"/>
      <c r="Q47" s="18">
        <f>발주발송관리!BB47</f>
        <v>0</v>
      </c>
      <c r="S47" s="20" t="str">
        <f t="shared" si="1"/>
        <v/>
      </c>
      <c r="T47" s="20" t="s">
        <v>275</v>
      </c>
      <c r="U47" s="20" t="s">
        <v>285</v>
      </c>
      <c r="V47" s="25" t="s">
        <v>110</v>
      </c>
      <c r="W47" s="25" t="s">
        <v>110</v>
      </c>
    </row>
    <row r="48" spans="1:23" ht="13.5">
      <c r="A48" s="9" t="s">
        <v>295</v>
      </c>
      <c r="B48" s="9" t="s">
        <v>296</v>
      </c>
      <c r="C48" s="16">
        <f t="shared" si="0"/>
        <v>0</v>
      </c>
      <c r="D48" s="16">
        <f>IFERROR(TRIM(LEFT(발주발송관리!T48,FIND(" ",발주발송관리!T48)-1)),0)</f>
        <v>0</v>
      </c>
      <c r="E48" s="16">
        <f>IFERROR(MID(발주발송관리!T48,FIND(" ",발주발송관리!T48)+1,LEN(발주발송관리!T48)-FIND(" ",발주발송관리!T48)+1),0)</f>
        <v>0</v>
      </c>
      <c r="F48" s="16">
        <f>발주발송관리!W48</f>
        <v>0</v>
      </c>
      <c r="G48" s="11">
        <f>발주발송관리!Y48</f>
        <v>0</v>
      </c>
      <c r="H48" s="17">
        <f>발주발송관리!Z48/1.6</f>
        <v>0</v>
      </c>
      <c r="I48" s="10"/>
      <c r="J48" s="10"/>
      <c r="K48" s="11"/>
      <c r="L48" s="11"/>
      <c r="M48" s="16">
        <f>IF(발주발송관리!M48=R48,0,발주발송관리!M48&amp;T48&amp;S48&amp;U48)</f>
        <v>0</v>
      </c>
      <c r="N48" s="16">
        <f>발주발송관리!AZ48</f>
        <v>0</v>
      </c>
      <c r="O48" s="16">
        <f>발주발송관리!AW48</f>
        <v>0</v>
      </c>
      <c r="P48" s="18"/>
      <c r="Q48" s="18">
        <f>발주발송관리!BB48</f>
        <v>0</v>
      </c>
      <c r="S48" s="20" t="str">
        <f t="shared" si="1"/>
        <v/>
      </c>
      <c r="T48" s="20" t="s">
        <v>275</v>
      </c>
      <c r="U48" s="20" t="s">
        <v>285</v>
      </c>
      <c r="V48" s="25" t="s">
        <v>111</v>
      </c>
      <c r="W48" s="25" t="s">
        <v>111</v>
      </c>
    </row>
    <row r="49" spans="1:23" ht="13.5">
      <c r="A49" s="9" t="s">
        <v>295</v>
      </c>
      <c r="B49" s="9" t="s">
        <v>296</v>
      </c>
      <c r="C49" s="16">
        <f t="shared" si="0"/>
        <v>0</v>
      </c>
      <c r="D49" s="16">
        <f>IFERROR(TRIM(LEFT(발주발송관리!T49,FIND(" ",발주발송관리!T49)-1)),0)</f>
        <v>0</v>
      </c>
      <c r="E49" s="16">
        <f>IFERROR(MID(발주발송관리!T49,FIND(" ",발주발송관리!T49)+1,LEN(발주발송관리!T49)-FIND(" ",발주발송관리!T49)+1),0)</f>
        <v>0</v>
      </c>
      <c r="F49" s="16">
        <f>발주발송관리!W49</f>
        <v>0</v>
      </c>
      <c r="G49" s="11">
        <f>발주발송관리!Y49</f>
        <v>0</v>
      </c>
      <c r="H49" s="17">
        <f>발주발송관리!Z49/1.6</f>
        <v>0</v>
      </c>
      <c r="I49" s="10"/>
      <c r="J49" s="10"/>
      <c r="K49" s="11"/>
      <c r="L49" s="11"/>
      <c r="M49" s="16">
        <f>IF(발주발송관리!M49=R49,0,발주발송관리!M49&amp;T49&amp;S49&amp;U49)</f>
        <v>0</v>
      </c>
      <c r="N49" s="16">
        <f>발주발송관리!AZ49</f>
        <v>0</v>
      </c>
      <c r="O49" s="16">
        <f>발주발송관리!AW49</f>
        <v>0</v>
      </c>
      <c r="P49" s="18"/>
      <c r="Q49" s="18">
        <f>발주발송관리!BB49</f>
        <v>0</v>
      </c>
      <c r="S49" s="20" t="str">
        <f t="shared" si="1"/>
        <v/>
      </c>
      <c r="T49" s="20" t="s">
        <v>275</v>
      </c>
      <c r="U49" s="20" t="s">
        <v>285</v>
      </c>
      <c r="V49" s="25" t="s">
        <v>112</v>
      </c>
      <c r="W49" s="25" t="s">
        <v>112</v>
      </c>
    </row>
    <row r="50" spans="1:23" ht="15" customHeight="1">
      <c r="A50" s="9" t="s">
        <v>295</v>
      </c>
      <c r="B50" s="9" t="s">
        <v>296</v>
      </c>
      <c r="C50" s="16">
        <f t="shared" si="0"/>
        <v>0</v>
      </c>
      <c r="D50" s="16">
        <f>IFERROR(TRIM(LEFT(발주발송관리!T50,FIND(" ",발주발송관리!T50)-1)),0)</f>
        <v>0</v>
      </c>
      <c r="E50" s="16">
        <f>IFERROR(MID(발주발송관리!T50,FIND(" ",발주발송관리!T50)+1,LEN(발주발송관리!T50)-FIND(" ",발주발송관리!T50)+1),0)</f>
        <v>0</v>
      </c>
      <c r="F50" s="16">
        <f>발주발송관리!W50</f>
        <v>0</v>
      </c>
      <c r="G50" s="11">
        <f>발주발송관리!Y50</f>
        <v>0</v>
      </c>
      <c r="H50" s="17">
        <f>발주발송관리!Z50/1.6</f>
        <v>0</v>
      </c>
      <c r="I50" s="10"/>
      <c r="J50" s="10"/>
      <c r="K50" s="11"/>
      <c r="L50" s="11"/>
      <c r="M50" s="16">
        <f>IF(발주발송관리!M50=R50,0,발주발송관리!M50&amp;T50&amp;S50&amp;U50)</f>
        <v>0</v>
      </c>
      <c r="N50" s="16">
        <f>발주발송관리!AZ50</f>
        <v>0</v>
      </c>
      <c r="O50" s="16">
        <f>발주발송관리!AW50</f>
        <v>0</v>
      </c>
      <c r="P50" s="18"/>
      <c r="Q50" s="18">
        <f>발주발송관리!BB50</f>
        <v>0</v>
      </c>
      <c r="S50" s="20" t="str">
        <f t="shared" si="1"/>
        <v/>
      </c>
      <c r="T50" s="20" t="s">
        <v>275</v>
      </c>
      <c r="U50" s="20" t="s">
        <v>285</v>
      </c>
      <c r="V50" s="25" t="s">
        <v>113</v>
      </c>
      <c r="W50" s="25" t="s">
        <v>113</v>
      </c>
    </row>
    <row r="51" spans="1:23" ht="13.5">
      <c r="A51" s="9" t="s">
        <v>295</v>
      </c>
      <c r="B51" s="9" t="s">
        <v>296</v>
      </c>
      <c r="C51" s="16">
        <f t="shared" si="0"/>
        <v>0</v>
      </c>
      <c r="D51" s="16">
        <f>IFERROR(TRIM(LEFT(발주발송관리!T51,FIND(" ",발주발송관리!T51)-1)),0)</f>
        <v>0</v>
      </c>
      <c r="E51" s="16">
        <f>IFERROR(MID(발주발송관리!T51,FIND(" ",발주발송관리!T51)+1,LEN(발주발송관리!T51)-FIND(" ",발주발송관리!T51)+1),0)</f>
        <v>0</v>
      </c>
      <c r="F51" s="16">
        <f>발주발송관리!W51</f>
        <v>0</v>
      </c>
      <c r="G51" s="11">
        <f>발주발송관리!Y51</f>
        <v>0</v>
      </c>
      <c r="H51" s="17">
        <f>발주발송관리!Z51/1.6</f>
        <v>0</v>
      </c>
      <c r="I51" s="10"/>
      <c r="J51" s="10"/>
      <c r="K51" s="11"/>
      <c r="L51" s="11"/>
      <c r="M51" s="16">
        <f>IF(발주발송관리!M51=R51,0,발주발송관리!M51&amp;T51&amp;S51&amp;U51)</f>
        <v>0</v>
      </c>
      <c r="N51" s="16">
        <f>발주발송관리!AZ51</f>
        <v>0</v>
      </c>
      <c r="O51" s="16">
        <f>발주발송관리!AW51</f>
        <v>0</v>
      </c>
      <c r="P51" s="18"/>
      <c r="Q51" s="18">
        <f>발주발송관리!BB51</f>
        <v>0</v>
      </c>
      <c r="S51" s="20" t="str">
        <f t="shared" si="1"/>
        <v/>
      </c>
      <c r="T51" s="20" t="s">
        <v>275</v>
      </c>
      <c r="U51" s="20" t="s">
        <v>285</v>
      </c>
      <c r="V51" s="25" t="s">
        <v>114</v>
      </c>
      <c r="W51" s="25" t="s">
        <v>114</v>
      </c>
    </row>
    <row r="52" spans="1:23" ht="13.5">
      <c r="A52" s="9" t="s">
        <v>295</v>
      </c>
      <c r="B52" s="9" t="s">
        <v>296</v>
      </c>
      <c r="C52" s="16">
        <f t="shared" si="0"/>
        <v>0</v>
      </c>
      <c r="D52" s="16">
        <f>IFERROR(TRIM(LEFT(발주발송관리!T52,FIND(" ",발주발송관리!T52)-1)),0)</f>
        <v>0</v>
      </c>
      <c r="E52" s="16">
        <f>IFERROR(MID(발주발송관리!T52,FIND(" ",발주발송관리!T52)+1,LEN(발주발송관리!T52)-FIND(" ",발주발송관리!T52)+1),0)</f>
        <v>0</v>
      </c>
      <c r="F52" s="16">
        <f>발주발송관리!W52</f>
        <v>0</v>
      </c>
      <c r="G52" s="11">
        <f>발주발송관리!Y52</f>
        <v>0</v>
      </c>
      <c r="H52" s="17">
        <f>발주발송관리!Z52/1.6</f>
        <v>0</v>
      </c>
      <c r="I52" s="10"/>
      <c r="J52" s="10"/>
      <c r="K52" s="11"/>
      <c r="L52" s="11"/>
      <c r="M52" s="16">
        <f>IF(발주발송관리!M52=R52,0,발주발송관리!M52&amp;T52&amp;S52&amp;U52)</f>
        <v>0</v>
      </c>
      <c r="N52" s="16">
        <f>발주발송관리!AZ52</f>
        <v>0</v>
      </c>
      <c r="O52" s="16">
        <f>발주발송관리!AW52</f>
        <v>0</v>
      </c>
      <c r="P52" s="18"/>
      <c r="Q52" s="18">
        <f>발주발송관리!BB52</f>
        <v>0</v>
      </c>
      <c r="S52" s="20" t="str">
        <f t="shared" si="1"/>
        <v/>
      </c>
      <c r="T52" s="20" t="s">
        <v>275</v>
      </c>
      <c r="U52" s="20" t="s">
        <v>285</v>
      </c>
      <c r="V52" s="25" t="s">
        <v>115</v>
      </c>
      <c r="W52" s="25" t="s">
        <v>115</v>
      </c>
    </row>
    <row r="53" spans="1:23" ht="13.5">
      <c r="A53" s="9" t="s">
        <v>295</v>
      </c>
      <c r="B53" s="9" t="s">
        <v>296</v>
      </c>
      <c r="C53" s="16">
        <f t="shared" ref="C53:C79" si="2">M53</f>
        <v>0</v>
      </c>
      <c r="D53" s="16">
        <f>IFERROR(TRIM(LEFT(발주발송관리!T53,FIND(" ",발주발송관리!T53)-1)),0)</f>
        <v>0</v>
      </c>
      <c r="E53" s="16">
        <f>IFERROR(MID(발주발송관리!T53,FIND(" ",발주발송관리!T53)+1,LEN(발주발송관리!T53)-FIND(" ",발주발송관리!T53)+1),0)</f>
        <v>0</v>
      </c>
      <c r="F53" s="16">
        <f>발주발송관리!W53</f>
        <v>0</v>
      </c>
      <c r="G53" s="11">
        <f>발주발송관리!Y53</f>
        <v>0</v>
      </c>
      <c r="H53" s="17">
        <f>발주발송관리!Z53/1.6</f>
        <v>0</v>
      </c>
      <c r="I53" s="10"/>
      <c r="J53" s="10"/>
      <c r="K53" s="11"/>
      <c r="L53" s="11"/>
      <c r="M53" s="16">
        <f>IF(발주발송관리!M53=R53,0,발주발송관리!M53&amp;T53&amp;S53&amp;U53)</f>
        <v>0</v>
      </c>
      <c r="N53" s="16">
        <f>발주발송관리!AZ53</f>
        <v>0</v>
      </c>
      <c r="O53" s="16">
        <f>발주발송관리!AW53</f>
        <v>0</v>
      </c>
      <c r="P53" s="18"/>
      <c r="Q53" s="18">
        <f>발주발송관리!BB53</f>
        <v>0</v>
      </c>
      <c r="S53" s="20" t="str">
        <f t="shared" si="1"/>
        <v/>
      </c>
      <c r="T53" s="20" t="s">
        <v>275</v>
      </c>
      <c r="U53" s="20" t="s">
        <v>285</v>
      </c>
      <c r="V53" s="25" t="s">
        <v>116</v>
      </c>
      <c r="W53" s="25" t="s">
        <v>116</v>
      </c>
    </row>
    <row r="54" spans="1:23" ht="13.5">
      <c r="A54" s="9" t="s">
        <v>295</v>
      </c>
      <c r="B54" s="9" t="s">
        <v>296</v>
      </c>
      <c r="C54" s="16">
        <f t="shared" si="2"/>
        <v>0</v>
      </c>
      <c r="D54" s="16">
        <f>IFERROR(TRIM(LEFT(발주발송관리!T54,FIND(" ",발주발송관리!T54)-1)),0)</f>
        <v>0</v>
      </c>
      <c r="E54" s="16">
        <f>IFERROR(MID(발주발송관리!T54,FIND(" ",발주발송관리!T54)+1,LEN(발주발송관리!T54)-FIND(" ",발주발송관리!T54)+1),0)</f>
        <v>0</v>
      </c>
      <c r="F54" s="16">
        <f>발주발송관리!W54</f>
        <v>0</v>
      </c>
      <c r="G54" s="11">
        <f>발주발송관리!Y54</f>
        <v>0</v>
      </c>
      <c r="H54" s="17">
        <f>발주발송관리!Z54/1.6</f>
        <v>0</v>
      </c>
      <c r="I54" s="10"/>
      <c r="J54" s="10"/>
      <c r="K54" s="11"/>
      <c r="L54" s="11"/>
      <c r="M54" s="16">
        <f>IF(발주발송관리!M54=R54,0,발주발송관리!M54&amp;T54&amp;S54&amp;U54)</f>
        <v>0</v>
      </c>
      <c r="N54" s="16">
        <f>발주발송관리!AZ54</f>
        <v>0</v>
      </c>
      <c r="O54" s="16">
        <f>발주발송관리!AW54</f>
        <v>0</v>
      </c>
      <c r="P54" s="18"/>
      <c r="Q54" s="18">
        <f>발주발송관리!BB54</f>
        <v>0</v>
      </c>
      <c r="S54" s="20" t="str">
        <f t="shared" si="1"/>
        <v/>
      </c>
      <c r="T54" s="20" t="s">
        <v>275</v>
      </c>
      <c r="U54" s="20" t="s">
        <v>285</v>
      </c>
      <c r="V54" s="25" t="s">
        <v>117</v>
      </c>
      <c r="W54" s="25" t="s">
        <v>117</v>
      </c>
    </row>
    <row r="55" spans="1:23" ht="13.5">
      <c r="A55" s="9" t="s">
        <v>295</v>
      </c>
      <c r="B55" s="9" t="s">
        <v>296</v>
      </c>
      <c r="C55" s="16">
        <f t="shared" si="2"/>
        <v>0</v>
      </c>
      <c r="D55" s="16">
        <f>IFERROR(TRIM(LEFT(발주발송관리!T55,FIND(" ",발주발송관리!T55)-1)),0)</f>
        <v>0</v>
      </c>
      <c r="E55" s="16">
        <f>IFERROR(MID(발주발송관리!T55,FIND(" ",발주발송관리!T55)+1,LEN(발주발송관리!T55)-FIND(" ",발주발송관리!T55)+1),0)</f>
        <v>0</v>
      </c>
      <c r="F55" s="16">
        <f>발주발송관리!W55</f>
        <v>0</v>
      </c>
      <c r="G55" s="11">
        <f>발주발송관리!Y55</f>
        <v>0</v>
      </c>
      <c r="H55" s="17">
        <f>발주발송관리!Z55/1.6</f>
        <v>0</v>
      </c>
      <c r="I55" s="10"/>
      <c r="J55" s="10"/>
      <c r="K55" s="11"/>
      <c r="L55" s="11"/>
      <c r="M55" s="16">
        <f>IF(발주발송관리!M55=R55,0,발주발송관리!M55&amp;T55&amp;S55&amp;U55)</f>
        <v>0</v>
      </c>
      <c r="N55" s="16">
        <f>발주발송관리!AZ55</f>
        <v>0</v>
      </c>
      <c r="O55" s="16">
        <f>발주발송관리!AW55</f>
        <v>0</v>
      </c>
      <c r="P55" s="18"/>
      <c r="Q55" s="18">
        <f>발주발송관리!BB55</f>
        <v>0</v>
      </c>
      <c r="S55" s="20" t="str">
        <f t="shared" si="1"/>
        <v/>
      </c>
      <c r="T55" s="20" t="s">
        <v>275</v>
      </c>
      <c r="U55" s="20" t="s">
        <v>285</v>
      </c>
      <c r="V55" s="25" t="s">
        <v>118</v>
      </c>
      <c r="W55" s="25" t="s">
        <v>118</v>
      </c>
    </row>
    <row r="56" spans="1:23" ht="13.5">
      <c r="A56" s="9" t="s">
        <v>295</v>
      </c>
      <c r="B56" s="9" t="s">
        <v>296</v>
      </c>
      <c r="C56" s="16">
        <f t="shared" si="2"/>
        <v>0</v>
      </c>
      <c r="D56" s="16">
        <f>IFERROR(TRIM(LEFT(발주발송관리!T56,FIND(" ",발주발송관리!T56)-1)),0)</f>
        <v>0</v>
      </c>
      <c r="E56" s="16">
        <f>IFERROR(MID(발주발송관리!T56,FIND(" ",발주발송관리!T56)+1,LEN(발주발송관리!T56)-FIND(" ",발주발송관리!T56)+1),0)</f>
        <v>0</v>
      </c>
      <c r="F56" s="16">
        <f>발주발송관리!W56</f>
        <v>0</v>
      </c>
      <c r="G56" s="11">
        <f>발주발송관리!Y56</f>
        <v>0</v>
      </c>
      <c r="H56" s="17">
        <f>발주발송관리!Z56/1.6</f>
        <v>0</v>
      </c>
      <c r="I56" s="10"/>
      <c r="J56" s="10"/>
      <c r="K56" s="11"/>
      <c r="L56" s="11"/>
      <c r="M56" s="16">
        <f>IF(발주발송관리!M56=R56,0,발주발송관리!M56&amp;T56&amp;S56&amp;U56)</f>
        <v>0</v>
      </c>
      <c r="N56" s="16">
        <f>발주발송관리!AZ56</f>
        <v>0</v>
      </c>
      <c r="O56" s="16">
        <f>발주발송관리!AW56</f>
        <v>0</v>
      </c>
      <c r="P56" s="18"/>
      <c r="Q56" s="18">
        <f>발주발송관리!BB56</f>
        <v>0</v>
      </c>
      <c r="S56" s="20" t="str">
        <f t="shared" si="1"/>
        <v/>
      </c>
      <c r="T56" s="20" t="s">
        <v>275</v>
      </c>
      <c r="U56" s="20" t="s">
        <v>285</v>
      </c>
      <c r="V56" s="25" t="s">
        <v>119</v>
      </c>
      <c r="W56" s="25" t="s">
        <v>119</v>
      </c>
    </row>
    <row r="57" spans="1:23" ht="13.5">
      <c r="A57" s="9" t="s">
        <v>295</v>
      </c>
      <c r="B57" s="9" t="s">
        <v>296</v>
      </c>
      <c r="C57" s="16">
        <f t="shared" si="2"/>
        <v>0</v>
      </c>
      <c r="D57" s="16">
        <f>IFERROR(TRIM(LEFT(발주발송관리!T57,FIND(" ",발주발송관리!T57)-1)),0)</f>
        <v>0</v>
      </c>
      <c r="E57" s="16">
        <f>IFERROR(MID(발주발송관리!T57,FIND(" ",발주발송관리!T57)+1,LEN(발주발송관리!T57)-FIND(" ",발주발송관리!T57)+1),0)</f>
        <v>0</v>
      </c>
      <c r="F57" s="16">
        <f>발주발송관리!W57</f>
        <v>0</v>
      </c>
      <c r="G57" s="11">
        <f>발주발송관리!Y57</f>
        <v>0</v>
      </c>
      <c r="H57" s="17">
        <f>발주발송관리!Z57/1.6</f>
        <v>0</v>
      </c>
      <c r="I57" s="10"/>
      <c r="J57" s="10"/>
      <c r="K57" s="11"/>
      <c r="L57" s="11"/>
      <c r="M57" s="16">
        <f>IF(발주발송관리!M57=R57,0,발주발송관리!M57&amp;T57&amp;S57&amp;U57)</f>
        <v>0</v>
      </c>
      <c r="N57" s="16">
        <f>발주발송관리!AZ57</f>
        <v>0</v>
      </c>
      <c r="O57" s="16">
        <f>발주발송관리!AW57</f>
        <v>0</v>
      </c>
      <c r="P57" s="18"/>
      <c r="Q57" s="18">
        <f>발주발송관리!BB57</f>
        <v>0</v>
      </c>
      <c r="S57" s="20" t="str">
        <f t="shared" si="1"/>
        <v/>
      </c>
      <c r="T57" s="20" t="s">
        <v>275</v>
      </c>
      <c r="U57" s="20" t="s">
        <v>285</v>
      </c>
      <c r="V57" s="25" t="s">
        <v>120</v>
      </c>
      <c r="W57" s="25" t="s">
        <v>120</v>
      </c>
    </row>
    <row r="58" spans="1:23" ht="13.5">
      <c r="A58" s="9" t="s">
        <v>295</v>
      </c>
      <c r="B58" s="9" t="s">
        <v>296</v>
      </c>
      <c r="C58" s="16">
        <f t="shared" si="2"/>
        <v>0</v>
      </c>
      <c r="D58" s="16">
        <f>IFERROR(TRIM(LEFT(발주발송관리!T58,FIND(" ",발주발송관리!T58)-1)),0)</f>
        <v>0</v>
      </c>
      <c r="E58" s="16">
        <f>IFERROR(MID(발주발송관리!T58,FIND(" ",발주발송관리!T58)+1,LEN(발주발송관리!T58)-FIND(" ",발주발송관리!T58)+1),0)</f>
        <v>0</v>
      </c>
      <c r="F58" s="16">
        <f>발주발송관리!W58</f>
        <v>0</v>
      </c>
      <c r="G58" s="11">
        <f>발주발송관리!Y58</f>
        <v>0</v>
      </c>
      <c r="H58" s="17">
        <f>발주발송관리!Z58/1.6</f>
        <v>0</v>
      </c>
      <c r="I58" s="10"/>
      <c r="J58" s="10"/>
      <c r="K58" s="11"/>
      <c r="L58" s="11"/>
      <c r="M58" s="16">
        <f>IF(발주발송관리!M58=R58,0,발주발송관리!M58&amp;T58&amp;S58&amp;U58)</f>
        <v>0</v>
      </c>
      <c r="N58" s="16">
        <f>발주발송관리!AZ58</f>
        <v>0</v>
      </c>
      <c r="O58" s="16">
        <f>발주발송관리!AW58</f>
        <v>0</v>
      </c>
      <c r="P58" s="18"/>
      <c r="Q58" s="18">
        <f>발주발송관리!BB58</f>
        <v>0</v>
      </c>
      <c r="S58" s="20" t="str">
        <f t="shared" si="1"/>
        <v/>
      </c>
      <c r="T58" s="20" t="s">
        <v>275</v>
      </c>
      <c r="U58" s="20" t="s">
        <v>285</v>
      </c>
      <c r="V58" s="25" t="s">
        <v>121</v>
      </c>
      <c r="W58" s="25" t="s">
        <v>121</v>
      </c>
    </row>
    <row r="59" spans="1:23" ht="13.5">
      <c r="A59" s="9" t="s">
        <v>295</v>
      </c>
      <c r="B59" s="9" t="s">
        <v>296</v>
      </c>
      <c r="C59" s="16">
        <f t="shared" si="2"/>
        <v>0</v>
      </c>
      <c r="D59" s="16">
        <f>IFERROR(TRIM(LEFT(발주발송관리!T59,FIND(" ",발주발송관리!T59)-1)),0)</f>
        <v>0</v>
      </c>
      <c r="E59" s="16">
        <f>IFERROR(MID(발주발송관리!T59,FIND(" ",발주발송관리!T59)+1,LEN(발주발송관리!T59)-FIND(" ",발주발송관리!T59)+1),0)</f>
        <v>0</v>
      </c>
      <c r="F59" s="16">
        <f>발주발송관리!W59</f>
        <v>0</v>
      </c>
      <c r="G59" s="11">
        <f>발주발송관리!Y59</f>
        <v>0</v>
      </c>
      <c r="H59" s="17">
        <f>발주발송관리!Z59/1.6</f>
        <v>0</v>
      </c>
      <c r="I59" s="10"/>
      <c r="J59" s="10"/>
      <c r="K59" s="11"/>
      <c r="L59" s="11"/>
      <c r="M59" s="16">
        <f>IF(발주발송관리!M59=R59,0,발주발송관리!M59&amp;T59&amp;S59&amp;U59)</f>
        <v>0</v>
      </c>
      <c r="N59" s="16">
        <f>발주발송관리!AZ59</f>
        <v>0</v>
      </c>
      <c r="O59" s="16">
        <f>발주발송관리!AW59</f>
        <v>0</v>
      </c>
      <c r="P59" s="18"/>
      <c r="Q59" s="18">
        <f>발주발송관리!BB59</f>
        <v>0</v>
      </c>
      <c r="S59" s="20" t="str">
        <f t="shared" si="1"/>
        <v/>
      </c>
      <c r="T59" s="20" t="s">
        <v>275</v>
      </c>
      <c r="U59" s="20" t="s">
        <v>285</v>
      </c>
      <c r="V59" s="25" t="s">
        <v>122</v>
      </c>
      <c r="W59" s="25" t="s">
        <v>122</v>
      </c>
    </row>
    <row r="60" spans="1:23" ht="13.5">
      <c r="A60" s="9" t="s">
        <v>295</v>
      </c>
      <c r="B60" s="9" t="s">
        <v>296</v>
      </c>
      <c r="C60" s="16">
        <f t="shared" si="2"/>
        <v>0</v>
      </c>
      <c r="D60" s="16">
        <f>IFERROR(TRIM(LEFT(발주발송관리!T60,FIND(" ",발주발송관리!T60)-1)),0)</f>
        <v>0</v>
      </c>
      <c r="E60" s="16">
        <f>IFERROR(MID(발주발송관리!T60,FIND(" ",발주발송관리!T60)+1,LEN(발주발송관리!T60)-FIND(" ",발주발송관리!T60)+1),0)</f>
        <v>0</v>
      </c>
      <c r="F60" s="16">
        <f>발주발송관리!W60</f>
        <v>0</v>
      </c>
      <c r="G60" s="11">
        <f>발주발송관리!Y60</f>
        <v>0</v>
      </c>
      <c r="H60" s="17">
        <f>발주발송관리!Z60/1.6</f>
        <v>0</v>
      </c>
      <c r="I60" s="10"/>
      <c r="J60" s="10"/>
      <c r="K60" s="11"/>
      <c r="L60" s="11"/>
      <c r="M60" s="16">
        <f>IF(발주발송관리!M60=R60,0,발주발송관리!M60&amp;T60&amp;S60&amp;U60)</f>
        <v>0</v>
      </c>
      <c r="N60" s="16">
        <f>발주발송관리!AZ60</f>
        <v>0</v>
      </c>
      <c r="O60" s="16">
        <f>발주발송관리!AW60</f>
        <v>0</v>
      </c>
      <c r="P60" s="18"/>
      <c r="Q60" s="18">
        <f>발주발송관리!BB60</f>
        <v>0</v>
      </c>
      <c r="S60" s="20" t="str">
        <f t="shared" si="1"/>
        <v/>
      </c>
      <c r="T60" s="20" t="s">
        <v>275</v>
      </c>
      <c r="U60" s="20" t="s">
        <v>285</v>
      </c>
      <c r="V60" s="25" t="s">
        <v>123</v>
      </c>
      <c r="W60" s="25" t="s">
        <v>123</v>
      </c>
    </row>
    <row r="61" spans="1:23" ht="13.5">
      <c r="A61" s="9" t="s">
        <v>295</v>
      </c>
      <c r="B61" s="9" t="s">
        <v>296</v>
      </c>
      <c r="C61" s="16">
        <f t="shared" si="2"/>
        <v>0</v>
      </c>
      <c r="D61" s="16">
        <f>IFERROR(TRIM(LEFT(발주발송관리!T61,FIND(" ",발주발송관리!T61)-1)),0)</f>
        <v>0</v>
      </c>
      <c r="E61" s="16">
        <f>IFERROR(MID(발주발송관리!T61,FIND(" ",발주발송관리!T61)+1,LEN(발주발송관리!T61)-FIND(" ",발주발송관리!T61)+1),0)</f>
        <v>0</v>
      </c>
      <c r="F61" s="16">
        <f>발주발송관리!W61</f>
        <v>0</v>
      </c>
      <c r="G61" s="11">
        <f>발주발송관리!Y61</f>
        <v>0</v>
      </c>
      <c r="H61" s="17">
        <f>발주발송관리!Z61/1.6</f>
        <v>0</v>
      </c>
      <c r="I61" s="10"/>
      <c r="J61" s="10"/>
      <c r="K61" s="11"/>
      <c r="L61" s="11"/>
      <c r="M61" s="16">
        <f>IF(발주발송관리!M61=R61,0,발주발송관리!M61&amp;T61&amp;S61&amp;U61)</f>
        <v>0</v>
      </c>
      <c r="N61" s="16">
        <f>발주발송관리!AZ61</f>
        <v>0</v>
      </c>
      <c r="O61" s="16">
        <f>발주발송관리!AW61</f>
        <v>0</v>
      </c>
      <c r="P61" s="18"/>
      <c r="Q61" s="18">
        <f>발주발송관리!BB61</f>
        <v>0</v>
      </c>
      <c r="S61" s="20" t="str">
        <f t="shared" si="1"/>
        <v/>
      </c>
      <c r="T61" s="20" t="s">
        <v>275</v>
      </c>
      <c r="U61" s="20" t="s">
        <v>285</v>
      </c>
      <c r="V61" s="25" t="s">
        <v>124</v>
      </c>
      <c r="W61" s="25" t="s">
        <v>124</v>
      </c>
    </row>
    <row r="62" spans="1:23" ht="13.5">
      <c r="A62" s="9" t="s">
        <v>295</v>
      </c>
      <c r="B62" s="9" t="s">
        <v>296</v>
      </c>
      <c r="C62" s="16">
        <f t="shared" si="2"/>
        <v>0</v>
      </c>
      <c r="D62" s="16">
        <f>IFERROR(TRIM(LEFT(발주발송관리!T62,FIND(" ",발주발송관리!T62)-1)),0)</f>
        <v>0</v>
      </c>
      <c r="E62" s="16">
        <f>IFERROR(MID(발주발송관리!T62,FIND(" ",발주발송관리!T62)+1,LEN(발주발송관리!T62)-FIND(" ",발주발송관리!T62)+1),0)</f>
        <v>0</v>
      </c>
      <c r="F62" s="16">
        <f>발주발송관리!W62</f>
        <v>0</v>
      </c>
      <c r="G62" s="11">
        <f>발주발송관리!Y62</f>
        <v>0</v>
      </c>
      <c r="H62" s="17">
        <f>발주발송관리!Z62/1.6</f>
        <v>0</v>
      </c>
      <c r="I62" s="10"/>
      <c r="J62" s="10"/>
      <c r="K62" s="11"/>
      <c r="L62" s="11"/>
      <c r="M62" s="16">
        <f>IF(발주발송관리!M62=R62,0,발주발송관리!M62&amp;T62&amp;S62&amp;U62)</f>
        <v>0</v>
      </c>
      <c r="N62" s="16">
        <f>발주발송관리!AZ62</f>
        <v>0</v>
      </c>
      <c r="O62" s="16">
        <f>발주발송관리!AW62</f>
        <v>0</v>
      </c>
      <c r="P62" s="18"/>
      <c r="Q62" s="18">
        <f>발주발송관리!BB62</f>
        <v>0</v>
      </c>
      <c r="S62" s="20" t="str">
        <f t="shared" si="1"/>
        <v/>
      </c>
      <c r="T62" s="20" t="s">
        <v>275</v>
      </c>
      <c r="U62" s="20" t="s">
        <v>285</v>
      </c>
      <c r="V62" s="25" t="s">
        <v>125</v>
      </c>
      <c r="W62" s="25" t="s">
        <v>125</v>
      </c>
    </row>
    <row r="63" spans="1:23" ht="13.5">
      <c r="A63" s="9" t="s">
        <v>295</v>
      </c>
      <c r="B63" s="9" t="s">
        <v>296</v>
      </c>
      <c r="C63" s="16">
        <f t="shared" si="2"/>
        <v>0</v>
      </c>
      <c r="D63" s="16">
        <f>IFERROR(TRIM(LEFT(발주발송관리!T63,FIND(" ",발주발송관리!T63)-1)),0)</f>
        <v>0</v>
      </c>
      <c r="E63" s="16">
        <f>IFERROR(MID(발주발송관리!T63,FIND(" ",발주발송관리!T63)+1,LEN(발주발송관리!T63)-FIND(" ",발주발송관리!T63)+1),0)</f>
        <v>0</v>
      </c>
      <c r="F63" s="16">
        <f>발주발송관리!W63</f>
        <v>0</v>
      </c>
      <c r="G63" s="11">
        <f>발주발송관리!Y63</f>
        <v>0</v>
      </c>
      <c r="H63" s="17">
        <f>발주발송관리!Z63/1.6</f>
        <v>0</v>
      </c>
      <c r="I63" s="10"/>
      <c r="J63" s="10"/>
      <c r="K63" s="11"/>
      <c r="L63" s="11"/>
      <c r="M63" s="16">
        <f>IF(발주발송관리!M63=R63,0,발주발송관리!M63&amp;T63&amp;S63&amp;U63)</f>
        <v>0</v>
      </c>
      <c r="N63" s="16">
        <f>발주발송관리!AZ63</f>
        <v>0</v>
      </c>
      <c r="O63" s="16">
        <f>발주발송관리!AW63</f>
        <v>0</v>
      </c>
      <c r="P63" s="18"/>
      <c r="Q63" s="18">
        <f>발주발송관리!BB63</f>
        <v>0</v>
      </c>
      <c r="S63" s="20" t="str">
        <f t="shared" si="1"/>
        <v/>
      </c>
      <c r="T63" s="20" t="s">
        <v>275</v>
      </c>
      <c r="U63" s="20" t="s">
        <v>285</v>
      </c>
      <c r="V63" s="25" t="s">
        <v>126</v>
      </c>
      <c r="W63" s="25" t="s">
        <v>126</v>
      </c>
    </row>
    <row r="64" spans="1:23" ht="13.5">
      <c r="A64" s="9" t="s">
        <v>295</v>
      </c>
      <c r="B64" s="9" t="s">
        <v>296</v>
      </c>
      <c r="C64" s="16">
        <f t="shared" si="2"/>
        <v>0</v>
      </c>
      <c r="D64" s="16">
        <f>IFERROR(TRIM(LEFT(발주발송관리!T64,FIND(" ",발주발송관리!T64)-1)),0)</f>
        <v>0</v>
      </c>
      <c r="E64" s="16">
        <f>IFERROR(MID(발주발송관리!T64,FIND(" ",발주발송관리!T64)+1,LEN(발주발송관리!T64)-FIND(" ",발주발송관리!T64)+1),0)</f>
        <v>0</v>
      </c>
      <c r="F64" s="16">
        <f>발주발송관리!W64</f>
        <v>0</v>
      </c>
      <c r="G64" s="11">
        <f>발주발송관리!Y64</f>
        <v>0</v>
      </c>
      <c r="H64" s="17">
        <f>발주발송관리!Z64/1.6</f>
        <v>0</v>
      </c>
      <c r="I64" s="10"/>
      <c r="J64" s="10"/>
      <c r="K64" s="11"/>
      <c r="L64" s="11"/>
      <c r="M64" s="16">
        <f>IF(발주발송관리!M64=R64,0,발주발송관리!M64&amp;T64&amp;S64&amp;U64)</f>
        <v>0</v>
      </c>
      <c r="N64" s="16">
        <f>발주발송관리!AZ64</f>
        <v>0</v>
      </c>
      <c r="O64" s="16">
        <f>발주발송관리!AW64</f>
        <v>0</v>
      </c>
      <c r="P64" s="18"/>
      <c r="Q64" s="18">
        <f>발주발송관리!BB64</f>
        <v>0</v>
      </c>
      <c r="S64" s="20" t="str">
        <f t="shared" si="1"/>
        <v/>
      </c>
      <c r="T64" s="20" t="s">
        <v>275</v>
      </c>
      <c r="U64" s="20" t="s">
        <v>285</v>
      </c>
      <c r="V64" s="25" t="s">
        <v>127</v>
      </c>
      <c r="W64" s="25" t="s">
        <v>127</v>
      </c>
    </row>
    <row r="65" spans="1:23" ht="13.5">
      <c r="A65" s="9" t="s">
        <v>295</v>
      </c>
      <c r="B65" s="9" t="s">
        <v>296</v>
      </c>
      <c r="C65" s="16">
        <f t="shared" si="2"/>
        <v>0</v>
      </c>
      <c r="D65" s="16">
        <f>IFERROR(TRIM(LEFT(발주발송관리!T65,FIND(" ",발주발송관리!T65)-1)),0)</f>
        <v>0</v>
      </c>
      <c r="E65" s="16">
        <f>IFERROR(MID(발주발송관리!T65,FIND(" ",발주발송관리!T65)+1,LEN(발주발송관리!T65)-FIND(" ",발주발송관리!T65)+1),0)</f>
        <v>0</v>
      </c>
      <c r="F65" s="16">
        <f>발주발송관리!W65</f>
        <v>0</v>
      </c>
      <c r="G65" s="11">
        <f>발주발송관리!Y65</f>
        <v>0</v>
      </c>
      <c r="H65" s="17">
        <f>발주발송관리!Z65/1.6</f>
        <v>0</v>
      </c>
      <c r="I65" s="10"/>
      <c r="J65" s="10"/>
      <c r="K65" s="11"/>
      <c r="L65" s="11"/>
      <c r="M65" s="16">
        <f>IF(발주발송관리!M65=R65,0,발주발송관리!M65&amp;T65&amp;S65&amp;U65)</f>
        <v>0</v>
      </c>
      <c r="N65" s="16">
        <f>발주발송관리!AZ65</f>
        <v>0</v>
      </c>
      <c r="O65" s="16">
        <f>발주발송관리!AW65</f>
        <v>0</v>
      </c>
      <c r="P65" s="18"/>
      <c r="Q65" s="18">
        <f>발주발송관리!BB65</f>
        <v>0</v>
      </c>
      <c r="S65" s="20" t="str">
        <f t="shared" si="1"/>
        <v/>
      </c>
      <c r="T65" s="20" t="s">
        <v>275</v>
      </c>
      <c r="U65" s="20" t="s">
        <v>285</v>
      </c>
      <c r="V65" s="25" t="s">
        <v>128</v>
      </c>
      <c r="W65" s="25" t="s">
        <v>128</v>
      </c>
    </row>
    <row r="66" spans="1:23" ht="13.5">
      <c r="A66" s="9" t="s">
        <v>295</v>
      </c>
      <c r="B66" s="9" t="s">
        <v>296</v>
      </c>
      <c r="C66" s="16">
        <f t="shared" si="2"/>
        <v>0</v>
      </c>
      <c r="D66" s="16">
        <f>IFERROR(TRIM(LEFT(발주발송관리!T66,FIND(" ",발주발송관리!T66)-1)),0)</f>
        <v>0</v>
      </c>
      <c r="E66" s="16">
        <f>IFERROR(MID(발주발송관리!T66,FIND(" ",발주발송관리!T66)+1,LEN(발주발송관리!T66)-FIND(" ",발주발송관리!T66)+1),0)</f>
        <v>0</v>
      </c>
      <c r="F66" s="16">
        <f>발주발송관리!W66</f>
        <v>0</v>
      </c>
      <c r="G66" s="11">
        <f>발주발송관리!Y66</f>
        <v>0</v>
      </c>
      <c r="H66" s="17">
        <f>발주발송관리!Z66/1.6</f>
        <v>0</v>
      </c>
      <c r="I66" s="10"/>
      <c r="J66" s="10"/>
      <c r="K66" s="11"/>
      <c r="L66" s="11"/>
      <c r="M66" s="16">
        <f>IF(발주발송관리!M66=R66,0,발주발송관리!M66&amp;T66&amp;S66&amp;U66)</f>
        <v>0</v>
      </c>
      <c r="N66" s="16">
        <f>발주발송관리!AZ66</f>
        <v>0</v>
      </c>
      <c r="O66" s="16">
        <f>발주발송관리!AW66</f>
        <v>0</v>
      </c>
      <c r="P66" s="18"/>
      <c r="Q66" s="18">
        <f>발주발송관리!BB66</f>
        <v>0</v>
      </c>
      <c r="S66" s="20" t="str">
        <f t="shared" si="1"/>
        <v/>
      </c>
      <c r="T66" s="20" t="s">
        <v>275</v>
      </c>
      <c r="U66" s="20" t="s">
        <v>285</v>
      </c>
      <c r="V66" s="25" t="s">
        <v>129</v>
      </c>
      <c r="W66" s="25" t="s">
        <v>129</v>
      </c>
    </row>
    <row r="67" spans="1:23" ht="13.5">
      <c r="A67" s="9" t="s">
        <v>295</v>
      </c>
      <c r="B67" s="9" t="s">
        <v>296</v>
      </c>
      <c r="C67" s="16">
        <f t="shared" si="2"/>
        <v>0</v>
      </c>
      <c r="D67" s="16">
        <f>IFERROR(TRIM(LEFT(발주발송관리!T67,FIND(" ",발주발송관리!T67)-1)),0)</f>
        <v>0</v>
      </c>
      <c r="E67" s="16">
        <f>IFERROR(MID(발주발송관리!T67,FIND(" ",발주발송관리!T67)+1,LEN(발주발송관리!T67)-FIND(" ",발주발송관리!T67)+1),0)</f>
        <v>0</v>
      </c>
      <c r="F67" s="16">
        <f>발주발송관리!W67</f>
        <v>0</v>
      </c>
      <c r="G67" s="11">
        <f>발주발송관리!Y67</f>
        <v>0</v>
      </c>
      <c r="H67" s="17">
        <f>발주발송관리!Z67/1.6</f>
        <v>0</v>
      </c>
      <c r="I67" s="10"/>
      <c r="J67" s="10"/>
      <c r="K67" s="11"/>
      <c r="L67" s="11"/>
      <c r="M67" s="16">
        <f>IF(발주발송관리!M67=R67,0,발주발송관리!M67&amp;T67&amp;S67&amp;U67)</f>
        <v>0</v>
      </c>
      <c r="N67" s="16">
        <f>발주발송관리!AZ67</f>
        <v>0</v>
      </c>
      <c r="O67" s="16">
        <f>발주발송관리!AW67</f>
        <v>0</v>
      </c>
      <c r="P67" s="18"/>
      <c r="Q67" s="18">
        <f>발주발송관리!BB67</f>
        <v>0</v>
      </c>
      <c r="S67" s="20" t="str">
        <f t="shared" ref="S67:S130" si="3">IFERROR(LOOKUP(1,0/(FIND($V$2:$V$209,O67)),$W$2:$W$209),"")</f>
        <v/>
      </c>
      <c r="T67" s="20" t="s">
        <v>275</v>
      </c>
      <c r="U67" s="20" t="s">
        <v>285</v>
      </c>
      <c r="V67" s="25" t="s">
        <v>130</v>
      </c>
      <c r="W67" s="25" t="s">
        <v>130</v>
      </c>
    </row>
    <row r="68" spans="1:23" ht="13.5">
      <c r="A68" s="9" t="s">
        <v>295</v>
      </c>
      <c r="B68" s="9" t="s">
        <v>296</v>
      </c>
      <c r="C68" s="16">
        <f t="shared" si="2"/>
        <v>0</v>
      </c>
      <c r="D68" s="16">
        <f>IFERROR(TRIM(LEFT(발주발송관리!T68,FIND(" ",발주발송관리!T68)-1)),0)</f>
        <v>0</v>
      </c>
      <c r="E68" s="16">
        <f>IFERROR(MID(발주발송관리!T68,FIND(" ",발주발송관리!T68)+1,LEN(발주발송관리!T68)-FIND(" ",발주발송관리!T68)+1),0)</f>
        <v>0</v>
      </c>
      <c r="F68" s="16">
        <f>발주발송관리!W68</f>
        <v>0</v>
      </c>
      <c r="G68" s="11">
        <f>발주발송관리!Y68</f>
        <v>0</v>
      </c>
      <c r="H68" s="17">
        <f>발주발송관리!Z68/1.6</f>
        <v>0</v>
      </c>
      <c r="I68" s="10"/>
      <c r="J68" s="10"/>
      <c r="K68" s="11"/>
      <c r="L68" s="11"/>
      <c r="M68" s="16">
        <f>IF(발주발송관리!M68=R68,0,발주발송관리!M68&amp;T68&amp;S68&amp;U68)</f>
        <v>0</v>
      </c>
      <c r="N68" s="16">
        <f>발주발송관리!AZ68</f>
        <v>0</v>
      </c>
      <c r="O68" s="16">
        <f>발주발송관리!AW68</f>
        <v>0</v>
      </c>
      <c r="P68" s="18"/>
      <c r="Q68" s="18">
        <f>발주발송관리!BB68</f>
        <v>0</v>
      </c>
      <c r="S68" s="20" t="str">
        <f t="shared" si="3"/>
        <v/>
      </c>
      <c r="T68" s="20" t="s">
        <v>275</v>
      </c>
      <c r="U68" s="20" t="s">
        <v>285</v>
      </c>
      <c r="V68" s="25" t="s">
        <v>131</v>
      </c>
      <c r="W68" s="25" t="s">
        <v>131</v>
      </c>
    </row>
    <row r="69" spans="1:23" ht="13.5">
      <c r="A69" s="9" t="s">
        <v>295</v>
      </c>
      <c r="B69" s="9" t="s">
        <v>296</v>
      </c>
      <c r="C69" s="16">
        <f t="shared" si="2"/>
        <v>0</v>
      </c>
      <c r="D69" s="16">
        <f>IFERROR(TRIM(LEFT(발주발송관리!T69,FIND(" ",발주발송관리!T69)-1)),0)</f>
        <v>0</v>
      </c>
      <c r="E69" s="16">
        <f>IFERROR(MID(발주발송관리!T69,FIND(" ",발주발송관리!T69)+1,LEN(발주발송관리!T69)-FIND(" ",발주발송관리!T69)+1),0)</f>
        <v>0</v>
      </c>
      <c r="F69" s="16">
        <f>발주발송관리!W69</f>
        <v>0</v>
      </c>
      <c r="G69" s="11">
        <f>발주발송관리!Y69</f>
        <v>0</v>
      </c>
      <c r="H69" s="17">
        <f>발주발송관리!Z69/1.6</f>
        <v>0</v>
      </c>
      <c r="I69" s="10"/>
      <c r="J69" s="10"/>
      <c r="K69" s="11"/>
      <c r="L69" s="11"/>
      <c r="M69" s="16">
        <f>IF(발주발송관리!M69=R69,0,발주발송관리!M69&amp;T69&amp;S69&amp;U69)</f>
        <v>0</v>
      </c>
      <c r="N69" s="16">
        <f>발주발송관리!AZ69</f>
        <v>0</v>
      </c>
      <c r="O69" s="16">
        <f>발주발송관리!AW69</f>
        <v>0</v>
      </c>
      <c r="P69" s="18"/>
      <c r="Q69" s="18">
        <f>발주발송관리!BB69</f>
        <v>0</v>
      </c>
      <c r="S69" s="20" t="str">
        <f t="shared" si="3"/>
        <v/>
      </c>
      <c r="T69" s="20" t="s">
        <v>275</v>
      </c>
      <c r="U69" s="20" t="s">
        <v>285</v>
      </c>
      <c r="V69" s="25" t="s">
        <v>132</v>
      </c>
      <c r="W69" s="25" t="s">
        <v>132</v>
      </c>
    </row>
    <row r="70" spans="1:23" ht="13.5">
      <c r="A70" s="9" t="s">
        <v>295</v>
      </c>
      <c r="B70" s="9" t="s">
        <v>296</v>
      </c>
      <c r="C70" s="16">
        <f t="shared" si="2"/>
        <v>0</v>
      </c>
      <c r="D70" s="16">
        <f>IFERROR(TRIM(LEFT(발주발송관리!T70,FIND(" ",발주발송관리!T70)-1)),0)</f>
        <v>0</v>
      </c>
      <c r="E70" s="16">
        <f>IFERROR(MID(발주발송관리!T70,FIND(" ",발주발송관리!T70)+1,LEN(발주발송관리!T70)-FIND(" ",발주발송관리!T70)+1),0)</f>
        <v>0</v>
      </c>
      <c r="F70" s="16">
        <f>발주발송관리!W70</f>
        <v>0</v>
      </c>
      <c r="G70" s="11">
        <f>발주발송관리!Y70</f>
        <v>0</v>
      </c>
      <c r="H70" s="17">
        <f>발주발송관리!Z70/1.6</f>
        <v>0</v>
      </c>
      <c r="I70" s="10"/>
      <c r="J70" s="10"/>
      <c r="K70" s="11"/>
      <c r="L70" s="11"/>
      <c r="M70" s="16">
        <f>IF(발주발송관리!M70=R70,0,발주발송관리!M70&amp;T70&amp;S70&amp;U70)</f>
        <v>0</v>
      </c>
      <c r="N70" s="16">
        <f>발주발송관리!AZ70</f>
        <v>0</v>
      </c>
      <c r="O70" s="16">
        <f>발주발송관리!AW70</f>
        <v>0</v>
      </c>
      <c r="P70" s="18"/>
      <c r="Q70" s="18">
        <f>발주발송관리!BB70</f>
        <v>0</v>
      </c>
      <c r="S70" s="20" t="str">
        <f t="shared" si="3"/>
        <v/>
      </c>
      <c r="T70" s="20" t="s">
        <v>275</v>
      </c>
      <c r="U70" s="20" t="s">
        <v>285</v>
      </c>
      <c r="V70" s="25" t="s">
        <v>133</v>
      </c>
      <c r="W70" s="25" t="s">
        <v>133</v>
      </c>
    </row>
    <row r="71" spans="1:23" ht="13.5">
      <c r="A71" s="9" t="s">
        <v>295</v>
      </c>
      <c r="B71" s="9" t="s">
        <v>296</v>
      </c>
      <c r="C71" s="16">
        <f t="shared" si="2"/>
        <v>0</v>
      </c>
      <c r="D71" s="16">
        <f>IFERROR(TRIM(LEFT(발주발송관리!T71,FIND(" ",발주발송관리!T71)-1)),0)</f>
        <v>0</v>
      </c>
      <c r="E71" s="16">
        <f>IFERROR(MID(발주발송관리!T71,FIND(" ",발주발송관리!T71)+1,LEN(발주발송관리!T71)-FIND(" ",발주발송관리!T71)+1),0)</f>
        <v>0</v>
      </c>
      <c r="F71" s="16">
        <f>발주발송관리!W71</f>
        <v>0</v>
      </c>
      <c r="G71" s="11">
        <f>발주발송관리!Y71</f>
        <v>0</v>
      </c>
      <c r="H71" s="17">
        <f>발주발송관리!Z71/1.6</f>
        <v>0</v>
      </c>
      <c r="I71" s="10"/>
      <c r="J71" s="10"/>
      <c r="K71" s="11"/>
      <c r="L71" s="11"/>
      <c r="M71" s="16">
        <f>IF(발주발송관리!M71=R71,0,발주발송관리!M71&amp;T71&amp;S71&amp;U71)</f>
        <v>0</v>
      </c>
      <c r="N71" s="16">
        <f>발주발송관리!AZ71</f>
        <v>0</v>
      </c>
      <c r="O71" s="16">
        <f>발주발송관리!AW71</f>
        <v>0</v>
      </c>
      <c r="P71" s="18"/>
      <c r="Q71" s="18">
        <f>발주발송관리!BB71</f>
        <v>0</v>
      </c>
      <c r="S71" s="20" t="str">
        <f t="shared" si="3"/>
        <v/>
      </c>
      <c r="T71" s="20" t="s">
        <v>275</v>
      </c>
      <c r="U71" s="20" t="s">
        <v>285</v>
      </c>
      <c r="V71" s="25" t="s">
        <v>134</v>
      </c>
      <c r="W71" s="25" t="s">
        <v>134</v>
      </c>
    </row>
    <row r="72" spans="1:23" ht="13.5">
      <c r="A72" s="9" t="s">
        <v>295</v>
      </c>
      <c r="B72" s="9" t="s">
        <v>296</v>
      </c>
      <c r="C72" s="16">
        <f t="shared" si="2"/>
        <v>0</v>
      </c>
      <c r="D72" s="16">
        <f>IFERROR(TRIM(LEFT(발주발송관리!T72,FIND(" ",발주발송관리!T72)-1)),0)</f>
        <v>0</v>
      </c>
      <c r="E72" s="16">
        <f>IFERROR(MID(발주발송관리!T72,FIND(" ",발주발송관리!T72)+1,LEN(발주발송관리!T72)-FIND(" ",발주발송관리!T72)+1),0)</f>
        <v>0</v>
      </c>
      <c r="F72" s="16">
        <f>발주발송관리!W72</f>
        <v>0</v>
      </c>
      <c r="G72" s="11">
        <f>발주발송관리!Y72</f>
        <v>0</v>
      </c>
      <c r="H72" s="17">
        <f>발주발송관리!Z72/1.6</f>
        <v>0</v>
      </c>
      <c r="I72" s="10"/>
      <c r="J72" s="10"/>
      <c r="K72" s="11"/>
      <c r="L72" s="11"/>
      <c r="M72" s="16">
        <f>IF(발주발송관리!M72=R72,0,발주발송관리!M72&amp;T72&amp;S72&amp;U72)</f>
        <v>0</v>
      </c>
      <c r="N72" s="16">
        <f>발주발송관리!AZ72</f>
        <v>0</v>
      </c>
      <c r="O72" s="16">
        <f>발주발송관리!AW72</f>
        <v>0</v>
      </c>
      <c r="P72" s="18"/>
      <c r="Q72" s="18">
        <f>발주발송관리!BB72</f>
        <v>0</v>
      </c>
      <c r="S72" s="20" t="str">
        <f t="shared" si="3"/>
        <v/>
      </c>
      <c r="T72" s="20" t="s">
        <v>275</v>
      </c>
      <c r="U72" s="20" t="s">
        <v>285</v>
      </c>
      <c r="V72" s="25" t="s">
        <v>135</v>
      </c>
      <c r="W72" s="25" t="s">
        <v>135</v>
      </c>
    </row>
    <row r="73" spans="1:23" ht="13.5">
      <c r="A73" s="9" t="s">
        <v>295</v>
      </c>
      <c r="B73" s="9" t="s">
        <v>296</v>
      </c>
      <c r="C73" s="16">
        <f t="shared" si="2"/>
        <v>0</v>
      </c>
      <c r="D73" s="16">
        <f>IFERROR(TRIM(LEFT(발주발송관리!T73,FIND(" ",발주발송관리!T73)-1)),0)</f>
        <v>0</v>
      </c>
      <c r="E73" s="16">
        <f>IFERROR(MID(발주발송관리!T73,FIND(" ",발주발송관리!T73)+1,LEN(발주발송관리!T73)-FIND(" ",발주발송관리!T73)+1),0)</f>
        <v>0</v>
      </c>
      <c r="F73" s="16">
        <f>발주발송관리!W73</f>
        <v>0</v>
      </c>
      <c r="G73" s="11">
        <f>발주발송관리!Y73</f>
        <v>0</v>
      </c>
      <c r="H73" s="17">
        <f>발주발송관리!Z73/1.6</f>
        <v>0</v>
      </c>
      <c r="I73" s="10"/>
      <c r="J73" s="10"/>
      <c r="K73" s="11"/>
      <c r="L73" s="11"/>
      <c r="M73" s="16">
        <f>IF(발주발송관리!M73=R73,0,발주발송관리!M73&amp;T73&amp;S73&amp;U73)</f>
        <v>0</v>
      </c>
      <c r="N73" s="16">
        <f>발주발송관리!AZ73</f>
        <v>0</v>
      </c>
      <c r="O73" s="16">
        <f>발주발송관리!AW73</f>
        <v>0</v>
      </c>
      <c r="P73" s="18"/>
      <c r="Q73" s="18">
        <f>발주발송관리!BB73</f>
        <v>0</v>
      </c>
      <c r="S73" s="20" t="str">
        <f t="shared" si="3"/>
        <v/>
      </c>
      <c r="T73" s="20" t="s">
        <v>275</v>
      </c>
      <c r="U73" s="20" t="s">
        <v>285</v>
      </c>
      <c r="V73" s="25" t="s">
        <v>136</v>
      </c>
      <c r="W73" s="25" t="s">
        <v>136</v>
      </c>
    </row>
    <row r="74" spans="1:23" ht="13.5">
      <c r="A74" s="9" t="s">
        <v>295</v>
      </c>
      <c r="B74" s="9" t="s">
        <v>296</v>
      </c>
      <c r="C74" s="16">
        <f t="shared" si="2"/>
        <v>0</v>
      </c>
      <c r="D74" s="16">
        <f>IFERROR(TRIM(LEFT(발주발송관리!T74,FIND(" ",발주발송관리!T74)-1)),0)</f>
        <v>0</v>
      </c>
      <c r="E74" s="16">
        <f>IFERROR(MID(발주발송관리!T74,FIND(" ",발주발송관리!T74)+1,LEN(발주발송관리!T74)-FIND(" ",발주발송관리!T74)+1),0)</f>
        <v>0</v>
      </c>
      <c r="F74" s="16">
        <f>발주발송관리!W74</f>
        <v>0</v>
      </c>
      <c r="G74" s="11">
        <f>발주발송관리!Y74</f>
        <v>0</v>
      </c>
      <c r="H74" s="17">
        <f>발주발송관리!Z74/1.6</f>
        <v>0</v>
      </c>
      <c r="I74" s="10"/>
      <c r="J74" s="10"/>
      <c r="K74" s="11"/>
      <c r="L74" s="11"/>
      <c r="M74" s="16">
        <f>IF(발주발송관리!M74=R74,0,발주발송관리!M74&amp;T74&amp;S74&amp;U74)</f>
        <v>0</v>
      </c>
      <c r="N74" s="16">
        <f>발주발송관리!AZ74</f>
        <v>0</v>
      </c>
      <c r="O74" s="16">
        <f>발주발송관리!AW74</f>
        <v>0</v>
      </c>
      <c r="P74" s="18"/>
      <c r="Q74" s="18">
        <f>발주발송관리!BB74</f>
        <v>0</v>
      </c>
      <c r="S74" s="20" t="str">
        <f t="shared" si="3"/>
        <v/>
      </c>
      <c r="T74" s="20" t="s">
        <v>275</v>
      </c>
      <c r="U74" s="20" t="s">
        <v>285</v>
      </c>
      <c r="V74" s="25" t="s">
        <v>137</v>
      </c>
      <c r="W74" s="25" t="s">
        <v>137</v>
      </c>
    </row>
    <row r="75" spans="1:23" ht="13.5">
      <c r="A75" s="9" t="s">
        <v>295</v>
      </c>
      <c r="B75" s="9" t="s">
        <v>296</v>
      </c>
      <c r="C75" s="16">
        <f t="shared" si="2"/>
        <v>0</v>
      </c>
      <c r="D75" s="16">
        <f>IFERROR(TRIM(LEFT(발주발송관리!T75,FIND(" ",발주발송관리!T75)-1)),0)</f>
        <v>0</v>
      </c>
      <c r="E75" s="16">
        <f>IFERROR(MID(발주발송관리!T75,FIND(" ",발주발송관리!T75)+1,LEN(발주발송관리!T75)-FIND(" ",발주발송관리!T75)+1),0)</f>
        <v>0</v>
      </c>
      <c r="F75" s="16">
        <f>발주발송관리!W75</f>
        <v>0</v>
      </c>
      <c r="G75" s="11">
        <f>발주발송관리!Y75</f>
        <v>0</v>
      </c>
      <c r="H75" s="17">
        <f>발주발송관리!Z75/1.6</f>
        <v>0</v>
      </c>
      <c r="I75" s="10"/>
      <c r="J75" s="10"/>
      <c r="K75" s="11"/>
      <c r="L75" s="11"/>
      <c r="M75" s="16">
        <f>IF(발주발송관리!M75=R75,0,발주발송관리!M75&amp;T75&amp;S75&amp;U75)</f>
        <v>0</v>
      </c>
      <c r="N75" s="16">
        <f>발주발송관리!AZ75</f>
        <v>0</v>
      </c>
      <c r="O75" s="16">
        <f>발주발송관리!AW75</f>
        <v>0</v>
      </c>
      <c r="P75" s="18"/>
      <c r="Q75" s="18">
        <f>발주발송관리!BB75</f>
        <v>0</v>
      </c>
      <c r="S75" s="20" t="str">
        <f t="shared" si="3"/>
        <v/>
      </c>
      <c r="T75" s="20" t="s">
        <v>275</v>
      </c>
      <c r="U75" s="20" t="s">
        <v>285</v>
      </c>
      <c r="V75" s="25" t="s">
        <v>138</v>
      </c>
      <c r="W75" s="25" t="s">
        <v>138</v>
      </c>
    </row>
    <row r="76" spans="1:23" ht="13.5">
      <c r="A76" s="9" t="s">
        <v>295</v>
      </c>
      <c r="B76" s="9" t="s">
        <v>296</v>
      </c>
      <c r="C76" s="16">
        <f t="shared" si="2"/>
        <v>0</v>
      </c>
      <c r="D76" s="16">
        <f>IFERROR(TRIM(LEFT(발주발송관리!T76,FIND(" ",발주발송관리!T76)-1)),0)</f>
        <v>0</v>
      </c>
      <c r="E76" s="16">
        <f>IFERROR(MID(발주발송관리!T76,FIND(" ",발주발송관리!T76)+1,LEN(발주발송관리!T76)-FIND(" ",발주발송관리!T76)+1),0)</f>
        <v>0</v>
      </c>
      <c r="F76" s="16">
        <f>발주발송관리!W76</f>
        <v>0</v>
      </c>
      <c r="G76" s="11">
        <f>발주발송관리!Y76</f>
        <v>0</v>
      </c>
      <c r="H76" s="17">
        <f>발주발송관리!Z76/1.6</f>
        <v>0</v>
      </c>
      <c r="I76" s="10"/>
      <c r="J76" s="10"/>
      <c r="K76" s="11"/>
      <c r="L76" s="11"/>
      <c r="M76" s="16">
        <f>IF(발주발송관리!M76=R76,0,발주발송관리!M76&amp;T76&amp;S76&amp;U76)</f>
        <v>0</v>
      </c>
      <c r="N76" s="16">
        <f>발주발송관리!AZ76</f>
        <v>0</v>
      </c>
      <c r="O76" s="16">
        <f>발주발송관리!AW76</f>
        <v>0</v>
      </c>
      <c r="P76" s="18"/>
      <c r="Q76" s="18">
        <f>발주발송관리!BB76</f>
        <v>0</v>
      </c>
      <c r="S76" s="20" t="str">
        <f t="shared" si="3"/>
        <v/>
      </c>
      <c r="T76" s="20" t="s">
        <v>275</v>
      </c>
      <c r="U76" s="20" t="s">
        <v>285</v>
      </c>
      <c r="V76" s="25" t="s">
        <v>139</v>
      </c>
      <c r="W76" s="25" t="s">
        <v>139</v>
      </c>
    </row>
    <row r="77" spans="1:23" ht="13.5">
      <c r="A77" s="9" t="s">
        <v>295</v>
      </c>
      <c r="B77" s="9" t="s">
        <v>296</v>
      </c>
      <c r="C77" s="16">
        <f t="shared" si="2"/>
        <v>0</v>
      </c>
      <c r="D77" s="16">
        <f>IFERROR(TRIM(LEFT(발주발송관리!T77,FIND(" ",발주발송관리!T77)-1)),0)</f>
        <v>0</v>
      </c>
      <c r="E77" s="16">
        <f>IFERROR(MID(발주발송관리!T77,FIND(" ",발주발송관리!T77)+1,LEN(발주발송관리!T77)-FIND(" ",발주발송관리!T77)+1),0)</f>
        <v>0</v>
      </c>
      <c r="F77" s="16">
        <f>발주발송관리!W77</f>
        <v>0</v>
      </c>
      <c r="G77" s="11">
        <f>발주발송관리!Y77</f>
        <v>0</v>
      </c>
      <c r="H77" s="17">
        <f>발주발송관리!Z77/1.6</f>
        <v>0</v>
      </c>
      <c r="I77" s="10"/>
      <c r="J77" s="10"/>
      <c r="K77" s="11"/>
      <c r="L77" s="11"/>
      <c r="M77" s="16">
        <f>IF(발주발송관리!M77=R77,0,발주발송관리!M77&amp;T77&amp;S77&amp;U77)</f>
        <v>0</v>
      </c>
      <c r="N77" s="16">
        <f>발주발송관리!AZ77</f>
        <v>0</v>
      </c>
      <c r="O77" s="16">
        <f>발주발송관리!AW77</f>
        <v>0</v>
      </c>
      <c r="P77" s="18"/>
      <c r="Q77" s="18">
        <f>발주발송관리!BB77</f>
        <v>0</v>
      </c>
      <c r="S77" s="20" t="str">
        <f t="shared" si="3"/>
        <v/>
      </c>
      <c r="T77" s="20" t="s">
        <v>275</v>
      </c>
      <c r="U77" s="20" t="s">
        <v>285</v>
      </c>
      <c r="V77" s="25" t="s">
        <v>140</v>
      </c>
      <c r="W77" s="25" t="s">
        <v>140</v>
      </c>
    </row>
    <row r="78" spans="1:23" ht="13.5">
      <c r="A78" s="9" t="s">
        <v>295</v>
      </c>
      <c r="B78" s="9" t="s">
        <v>296</v>
      </c>
      <c r="C78" s="16">
        <f t="shared" si="2"/>
        <v>0</v>
      </c>
      <c r="D78" s="16">
        <f>IFERROR(TRIM(LEFT(발주발송관리!T78,FIND(" ",발주발송관리!T78)-1)),0)</f>
        <v>0</v>
      </c>
      <c r="E78" s="16">
        <f>IFERROR(MID(발주발송관리!T78,FIND(" ",발주발송관리!T78)+1,LEN(발주발송관리!T78)-FIND(" ",발주발송관리!T78)+1),0)</f>
        <v>0</v>
      </c>
      <c r="F78" s="16">
        <f>발주발송관리!W78</f>
        <v>0</v>
      </c>
      <c r="G78" s="11">
        <f>발주발송관리!Y78</f>
        <v>0</v>
      </c>
      <c r="H78" s="17">
        <f>발주발송관리!Z78/1.6</f>
        <v>0</v>
      </c>
      <c r="I78" s="10"/>
      <c r="J78" s="10"/>
      <c r="K78" s="11"/>
      <c r="L78" s="11"/>
      <c r="M78" s="16">
        <f>IF(발주발송관리!M78=R78,0,발주발송관리!M78&amp;T78&amp;S78&amp;U78)</f>
        <v>0</v>
      </c>
      <c r="N78" s="16">
        <f>발주발송관리!AZ78</f>
        <v>0</v>
      </c>
      <c r="O78" s="16">
        <f>발주발송관리!AW78</f>
        <v>0</v>
      </c>
      <c r="P78" s="18"/>
      <c r="Q78" s="18">
        <f>발주발송관리!BB78</f>
        <v>0</v>
      </c>
      <c r="S78" s="20" t="str">
        <f t="shared" si="3"/>
        <v/>
      </c>
      <c r="T78" s="20" t="s">
        <v>275</v>
      </c>
      <c r="U78" s="20" t="s">
        <v>285</v>
      </c>
      <c r="V78" s="25" t="s">
        <v>141</v>
      </c>
      <c r="W78" s="25" t="s">
        <v>141</v>
      </c>
    </row>
    <row r="79" spans="1:23" ht="13.5">
      <c r="A79" s="9" t="s">
        <v>295</v>
      </c>
      <c r="B79" s="9" t="s">
        <v>296</v>
      </c>
      <c r="C79" s="16">
        <f t="shared" si="2"/>
        <v>0</v>
      </c>
      <c r="D79" s="16">
        <f>IFERROR(TRIM(LEFT(발주발송관리!T79,FIND(" ",발주발송관리!T79)-1)),0)</f>
        <v>0</v>
      </c>
      <c r="E79" s="16">
        <f>IFERROR(MID(발주발송관리!T79,FIND(" ",발주발송관리!T79)+1,LEN(발주발송관리!T79)-FIND(" ",발주발송관리!T79)+1),0)</f>
        <v>0</v>
      </c>
      <c r="F79" s="16">
        <f>발주발송관리!W79</f>
        <v>0</v>
      </c>
      <c r="G79" s="11">
        <f>발주발송관리!Y79</f>
        <v>0</v>
      </c>
      <c r="H79" s="17">
        <f>발주발송관리!Z79/1.6</f>
        <v>0</v>
      </c>
      <c r="I79" s="10"/>
      <c r="J79" s="10"/>
      <c r="K79" s="11"/>
      <c r="L79" s="11"/>
      <c r="M79" s="16">
        <f>IF(발주발송관리!M79=R79,0,발주발송관리!M79&amp;T79&amp;S79&amp;U79)</f>
        <v>0</v>
      </c>
      <c r="N79" s="16">
        <f>발주발송관리!AZ79</f>
        <v>0</v>
      </c>
      <c r="O79" s="16">
        <f>발주발송관리!AW79</f>
        <v>0</v>
      </c>
      <c r="P79" s="18"/>
      <c r="Q79" s="18">
        <f>발주발송관리!BB79</f>
        <v>0</v>
      </c>
      <c r="S79" s="20" t="str">
        <f t="shared" si="3"/>
        <v/>
      </c>
      <c r="T79" s="20" t="s">
        <v>275</v>
      </c>
      <c r="U79" s="20" t="s">
        <v>285</v>
      </c>
      <c r="V79" s="25" t="s">
        <v>142</v>
      </c>
      <c r="W79" s="25" t="s">
        <v>142</v>
      </c>
    </row>
    <row r="80" spans="1:23" ht="13.5">
      <c r="A80" s="9" t="s">
        <v>295</v>
      </c>
      <c r="B80" s="9" t="s">
        <v>296</v>
      </c>
      <c r="C80" s="16">
        <f t="shared" ref="C80:C139" si="4">M80</f>
        <v>0</v>
      </c>
      <c r="D80" s="16">
        <f>IFERROR(TRIM(LEFT(발주발송관리!T80,FIND(" ",발주발송관리!T80)-1)),0)</f>
        <v>0</v>
      </c>
      <c r="E80" s="16">
        <f>IFERROR(MID(발주발송관리!T80,FIND(" ",발주발송관리!T80)+1,LEN(발주발송관리!T80)-FIND(" ",발주발송관리!T80)+1),0)</f>
        <v>0</v>
      </c>
      <c r="F80" s="16">
        <f>발주발송관리!W80</f>
        <v>0</v>
      </c>
      <c r="G80" s="11">
        <f>발주발송관리!Y80</f>
        <v>0</v>
      </c>
      <c r="H80" s="17">
        <f>발주발송관리!Z80/1.6</f>
        <v>0</v>
      </c>
      <c r="I80" s="10"/>
      <c r="J80" s="10"/>
      <c r="K80" s="11"/>
      <c r="L80" s="11"/>
      <c r="M80" s="16">
        <f>IF(발주발송관리!M80=R80,0,발주발송관리!M80&amp;T80&amp;S80&amp;U80)</f>
        <v>0</v>
      </c>
      <c r="N80" s="16">
        <f>발주발송관리!AZ80</f>
        <v>0</v>
      </c>
      <c r="O80" s="16">
        <f>발주발송관리!AW80</f>
        <v>0</v>
      </c>
      <c r="P80" s="18"/>
      <c r="Q80" s="18">
        <f>발주발송관리!BB80</f>
        <v>0</v>
      </c>
      <c r="S80" s="20" t="str">
        <f t="shared" si="3"/>
        <v/>
      </c>
      <c r="T80" s="20" t="s">
        <v>275</v>
      </c>
      <c r="U80" s="20" t="s">
        <v>285</v>
      </c>
      <c r="V80" s="25" t="s">
        <v>143</v>
      </c>
      <c r="W80" s="25" t="s">
        <v>143</v>
      </c>
    </row>
    <row r="81" spans="1:23" ht="13.5">
      <c r="A81" s="9" t="s">
        <v>295</v>
      </c>
      <c r="B81" s="9" t="s">
        <v>296</v>
      </c>
      <c r="C81" s="16">
        <f t="shared" si="4"/>
        <v>0</v>
      </c>
      <c r="D81" s="16">
        <f>IFERROR(TRIM(LEFT(발주발송관리!T81,FIND(" ",발주발송관리!T81)-1)),0)</f>
        <v>0</v>
      </c>
      <c r="E81" s="16">
        <f>IFERROR(MID(발주발송관리!T81,FIND(" ",발주발송관리!T81)+1,LEN(발주발송관리!T81)-FIND(" ",발주발송관리!T81)+1),0)</f>
        <v>0</v>
      </c>
      <c r="F81" s="16">
        <f>발주발송관리!W81</f>
        <v>0</v>
      </c>
      <c r="G81" s="11">
        <f>발주발송관리!Y81</f>
        <v>0</v>
      </c>
      <c r="H81" s="17">
        <f>발주발송관리!Z81/1.6</f>
        <v>0</v>
      </c>
      <c r="I81" s="10"/>
      <c r="J81" s="10"/>
      <c r="K81" s="11"/>
      <c r="L81" s="11"/>
      <c r="M81" s="16">
        <f>IF(발주발송관리!M81=R81,0,발주발송관리!M81&amp;T81&amp;S81&amp;U81)</f>
        <v>0</v>
      </c>
      <c r="N81" s="16">
        <f>발주발송관리!AZ81</f>
        <v>0</v>
      </c>
      <c r="O81" s="16">
        <f>발주발송관리!AW81</f>
        <v>0</v>
      </c>
      <c r="P81" s="18"/>
      <c r="Q81" s="18">
        <f>발주발송관리!BB81</f>
        <v>0</v>
      </c>
      <c r="S81" s="20" t="str">
        <f t="shared" si="3"/>
        <v/>
      </c>
      <c r="T81" s="20" t="s">
        <v>275</v>
      </c>
      <c r="U81" s="20" t="s">
        <v>285</v>
      </c>
      <c r="V81" s="25" t="s">
        <v>144</v>
      </c>
      <c r="W81" s="25" t="s">
        <v>144</v>
      </c>
    </row>
    <row r="82" spans="1:23" ht="13.5">
      <c r="A82" s="9" t="s">
        <v>295</v>
      </c>
      <c r="B82" s="9" t="s">
        <v>296</v>
      </c>
      <c r="C82" s="16">
        <f t="shared" si="4"/>
        <v>0</v>
      </c>
      <c r="D82" s="16">
        <f>IFERROR(TRIM(LEFT(발주발송관리!T82,FIND(" ",발주발송관리!T82)-1)),0)</f>
        <v>0</v>
      </c>
      <c r="E82" s="16">
        <f>IFERROR(MID(발주발송관리!T82,FIND(" ",발주발송관리!T82)+1,LEN(발주발송관리!T82)-FIND(" ",발주발송관리!T82)+1),0)</f>
        <v>0</v>
      </c>
      <c r="F82" s="16">
        <f>발주발송관리!W82</f>
        <v>0</v>
      </c>
      <c r="G82" s="11">
        <f>발주발송관리!Y82</f>
        <v>0</v>
      </c>
      <c r="H82" s="17">
        <f>발주발송관리!Z82/1.6</f>
        <v>0</v>
      </c>
      <c r="I82" s="10"/>
      <c r="J82" s="10"/>
      <c r="K82" s="11"/>
      <c r="L82" s="11"/>
      <c r="M82" s="16">
        <f>IF(발주발송관리!M82=R82,0,발주발송관리!M82&amp;T82&amp;S82&amp;U82)</f>
        <v>0</v>
      </c>
      <c r="N82" s="16">
        <f>발주발송관리!AZ82</f>
        <v>0</v>
      </c>
      <c r="O82" s="16">
        <f>발주발송관리!AW82</f>
        <v>0</v>
      </c>
      <c r="P82" s="18"/>
      <c r="Q82" s="18">
        <f>발주발송관리!BB82</f>
        <v>0</v>
      </c>
      <c r="S82" s="20" t="str">
        <f t="shared" si="3"/>
        <v/>
      </c>
      <c r="T82" s="20" t="s">
        <v>275</v>
      </c>
      <c r="U82" s="20" t="s">
        <v>285</v>
      </c>
      <c r="V82" s="25" t="s">
        <v>145</v>
      </c>
      <c r="W82" s="25" t="s">
        <v>145</v>
      </c>
    </row>
    <row r="83" spans="1:23" ht="13.5">
      <c r="A83" s="9" t="s">
        <v>295</v>
      </c>
      <c r="B83" s="9" t="s">
        <v>296</v>
      </c>
      <c r="C83" s="16">
        <f t="shared" si="4"/>
        <v>0</v>
      </c>
      <c r="D83" s="16">
        <f>IFERROR(TRIM(LEFT(발주발송관리!T83,FIND(" ",발주발송관리!T83)-1)),0)</f>
        <v>0</v>
      </c>
      <c r="E83" s="16">
        <f>IFERROR(MID(발주발송관리!T83,FIND(" ",발주발송관리!T83)+1,LEN(발주발송관리!T83)-FIND(" ",발주발송관리!T83)+1),0)</f>
        <v>0</v>
      </c>
      <c r="F83" s="16">
        <f>발주발송관리!W83</f>
        <v>0</v>
      </c>
      <c r="G83" s="11">
        <f>발주발송관리!Y83</f>
        <v>0</v>
      </c>
      <c r="H83" s="17">
        <f>발주발송관리!Z83/1.6</f>
        <v>0</v>
      </c>
      <c r="I83" s="10"/>
      <c r="J83" s="10"/>
      <c r="K83" s="11"/>
      <c r="L83" s="11"/>
      <c r="M83" s="16">
        <f>IF(발주발송관리!M83=R83,0,발주발송관리!M83&amp;T83&amp;S83&amp;U83)</f>
        <v>0</v>
      </c>
      <c r="N83" s="16">
        <f>발주발송관리!AZ83</f>
        <v>0</v>
      </c>
      <c r="O83" s="16">
        <f>발주발송관리!AW83</f>
        <v>0</v>
      </c>
      <c r="P83" s="18"/>
      <c r="Q83" s="18">
        <f>발주발송관리!BB83</f>
        <v>0</v>
      </c>
      <c r="S83" s="20" t="str">
        <f t="shared" si="3"/>
        <v/>
      </c>
      <c r="T83" s="20" t="s">
        <v>275</v>
      </c>
      <c r="U83" s="20" t="s">
        <v>285</v>
      </c>
      <c r="V83" s="25" t="s">
        <v>146</v>
      </c>
      <c r="W83" s="25" t="s">
        <v>146</v>
      </c>
    </row>
    <row r="84" spans="1:23" ht="13.5">
      <c r="A84" s="9" t="s">
        <v>295</v>
      </c>
      <c r="B84" s="9" t="s">
        <v>296</v>
      </c>
      <c r="C84" s="16">
        <f t="shared" si="4"/>
        <v>0</v>
      </c>
      <c r="D84" s="16">
        <f>IFERROR(TRIM(LEFT(발주발송관리!T84,FIND(" ",발주발송관리!T84)-1)),0)</f>
        <v>0</v>
      </c>
      <c r="E84" s="16">
        <f>IFERROR(MID(발주발송관리!T84,FIND(" ",발주발송관리!T84)+1,LEN(발주발송관리!T84)-FIND(" ",발주발송관리!T84)+1),0)</f>
        <v>0</v>
      </c>
      <c r="F84" s="16">
        <f>발주발송관리!W84</f>
        <v>0</v>
      </c>
      <c r="G84" s="11">
        <f>발주발송관리!Y84</f>
        <v>0</v>
      </c>
      <c r="H84" s="17">
        <f>발주발송관리!Z84/1.6</f>
        <v>0</v>
      </c>
      <c r="I84" s="10"/>
      <c r="J84" s="10"/>
      <c r="K84" s="11"/>
      <c r="L84" s="11"/>
      <c r="M84" s="16">
        <f>IF(발주발송관리!M84=R84,0,발주발송관리!M84&amp;T84&amp;S84&amp;U84)</f>
        <v>0</v>
      </c>
      <c r="N84" s="16">
        <f>발주발송관리!AZ84</f>
        <v>0</v>
      </c>
      <c r="O84" s="16">
        <f>발주발송관리!AW84</f>
        <v>0</v>
      </c>
      <c r="P84" s="18"/>
      <c r="Q84" s="18">
        <f>발주발송관리!BB84</f>
        <v>0</v>
      </c>
      <c r="S84" s="20" t="str">
        <f t="shared" si="3"/>
        <v/>
      </c>
      <c r="T84" s="20" t="s">
        <v>275</v>
      </c>
      <c r="U84" s="20" t="s">
        <v>285</v>
      </c>
      <c r="V84" s="25" t="s">
        <v>147</v>
      </c>
      <c r="W84" s="25" t="s">
        <v>147</v>
      </c>
    </row>
    <row r="85" spans="1:23" ht="13.5">
      <c r="A85" s="9" t="s">
        <v>295</v>
      </c>
      <c r="B85" s="9" t="s">
        <v>296</v>
      </c>
      <c r="C85" s="16">
        <f t="shared" si="4"/>
        <v>0</v>
      </c>
      <c r="D85" s="16">
        <f>IFERROR(TRIM(LEFT(발주발송관리!T85,FIND(" ",발주발송관리!T85)-1)),0)</f>
        <v>0</v>
      </c>
      <c r="E85" s="16">
        <f>IFERROR(MID(발주발송관리!T85,FIND(" ",발주발송관리!T85)+1,LEN(발주발송관리!T85)-FIND(" ",발주발송관리!T85)+1),0)</f>
        <v>0</v>
      </c>
      <c r="F85" s="16">
        <f>발주발송관리!W85</f>
        <v>0</v>
      </c>
      <c r="G85" s="11">
        <f>발주발송관리!Y85</f>
        <v>0</v>
      </c>
      <c r="H85" s="17">
        <f>발주발송관리!Z85/1.6</f>
        <v>0</v>
      </c>
      <c r="I85" s="10"/>
      <c r="J85" s="10"/>
      <c r="K85" s="11"/>
      <c r="L85" s="11"/>
      <c r="M85" s="16">
        <f>IF(발주발송관리!M85=R85,0,발주발송관리!M85&amp;T85&amp;S85&amp;U85)</f>
        <v>0</v>
      </c>
      <c r="N85" s="16">
        <f>발주발송관리!AZ85</f>
        <v>0</v>
      </c>
      <c r="O85" s="16">
        <f>발주발송관리!AW85</f>
        <v>0</v>
      </c>
      <c r="P85" s="18"/>
      <c r="Q85" s="18">
        <f>발주발송관리!BB85</f>
        <v>0</v>
      </c>
      <c r="S85" s="20" t="str">
        <f t="shared" si="3"/>
        <v/>
      </c>
      <c r="T85" s="20" t="s">
        <v>275</v>
      </c>
      <c r="U85" s="20" t="s">
        <v>285</v>
      </c>
      <c r="V85" s="25" t="s">
        <v>148</v>
      </c>
      <c r="W85" s="25" t="s">
        <v>148</v>
      </c>
    </row>
    <row r="86" spans="1:23" ht="13.5">
      <c r="A86" s="9" t="s">
        <v>295</v>
      </c>
      <c r="B86" s="9" t="s">
        <v>296</v>
      </c>
      <c r="C86" s="16">
        <f t="shared" si="4"/>
        <v>0</v>
      </c>
      <c r="D86" s="16">
        <f>IFERROR(TRIM(LEFT(발주발송관리!T86,FIND(" ",발주발송관리!T86)-1)),0)</f>
        <v>0</v>
      </c>
      <c r="E86" s="16">
        <f>IFERROR(MID(발주발송관리!T86,FIND(" ",발주발송관리!T86)+1,LEN(발주발송관리!T86)-FIND(" ",발주발송관리!T86)+1),0)</f>
        <v>0</v>
      </c>
      <c r="F86" s="16">
        <f>발주발송관리!W86</f>
        <v>0</v>
      </c>
      <c r="G86" s="11">
        <f>발주발송관리!Y86</f>
        <v>0</v>
      </c>
      <c r="H86" s="17">
        <f>발주발송관리!Z86/1.6</f>
        <v>0</v>
      </c>
      <c r="I86" s="10"/>
      <c r="J86" s="10"/>
      <c r="K86" s="11"/>
      <c r="L86" s="11"/>
      <c r="M86" s="16">
        <f>IF(발주발송관리!M86=R86,0,발주발송관리!M86&amp;T86&amp;S86&amp;U86)</f>
        <v>0</v>
      </c>
      <c r="N86" s="16">
        <f>발주발송관리!AZ86</f>
        <v>0</v>
      </c>
      <c r="O86" s="16">
        <f>발주발송관리!AW86</f>
        <v>0</v>
      </c>
      <c r="P86" s="18"/>
      <c r="Q86" s="18">
        <f>발주발송관리!BB86</f>
        <v>0</v>
      </c>
      <c r="S86" s="20" t="str">
        <f t="shared" si="3"/>
        <v/>
      </c>
      <c r="T86" s="20" t="s">
        <v>275</v>
      </c>
      <c r="U86" s="20" t="s">
        <v>285</v>
      </c>
      <c r="V86" s="25" t="s">
        <v>149</v>
      </c>
      <c r="W86" s="25" t="s">
        <v>149</v>
      </c>
    </row>
    <row r="87" spans="1:23" ht="13.5">
      <c r="A87" s="9" t="s">
        <v>295</v>
      </c>
      <c r="B87" s="9" t="s">
        <v>296</v>
      </c>
      <c r="C87" s="16">
        <f t="shared" si="4"/>
        <v>0</v>
      </c>
      <c r="D87" s="16">
        <f>IFERROR(TRIM(LEFT(발주발송관리!T87,FIND(" ",발주발송관리!T87)-1)),0)</f>
        <v>0</v>
      </c>
      <c r="E87" s="16">
        <f>IFERROR(MID(발주발송관리!T87,FIND(" ",발주발송관리!T87)+1,LEN(발주발송관리!T87)-FIND(" ",발주발송관리!T87)+1),0)</f>
        <v>0</v>
      </c>
      <c r="F87" s="16">
        <f>발주발송관리!W87</f>
        <v>0</v>
      </c>
      <c r="G87" s="11">
        <f>발주발송관리!Y87</f>
        <v>0</v>
      </c>
      <c r="H87" s="17">
        <f>발주발송관리!Z87/1.6</f>
        <v>0</v>
      </c>
      <c r="I87" s="10"/>
      <c r="J87" s="10"/>
      <c r="K87" s="11"/>
      <c r="L87" s="11"/>
      <c r="M87" s="16">
        <f>IF(발주발송관리!M87=R87,0,발주발송관리!M87&amp;T87&amp;S87&amp;U87)</f>
        <v>0</v>
      </c>
      <c r="N87" s="16">
        <f>발주발송관리!AZ87</f>
        <v>0</v>
      </c>
      <c r="O87" s="16">
        <f>발주발송관리!AW87</f>
        <v>0</v>
      </c>
      <c r="P87" s="18"/>
      <c r="Q87" s="18">
        <f>발주발송관리!BB87</f>
        <v>0</v>
      </c>
      <c r="S87" s="20" t="str">
        <f t="shared" si="3"/>
        <v/>
      </c>
      <c r="T87" s="20" t="s">
        <v>275</v>
      </c>
      <c r="U87" s="20" t="s">
        <v>285</v>
      </c>
      <c r="V87" s="25" t="s">
        <v>150</v>
      </c>
      <c r="W87" s="25" t="s">
        <v>150</v>
      </c>
    </row>
    <row r="88" spans="1:23" ht="13.5">
      <c r="A88" s="9" t="s">
        <v>295</v>
      </c>
      <c r="B88" s="9" t="s">
        <v>296</v>
      </c>
      <c r="C88" s="16">
        <f t="shared" si="4"/>
        <v>0</v>
      </c>
      <c r="D88" s="16">
        <f>IFERROR(TRIM(LEFT(발주발송관리!T88,FIND(" ",발주발송관리!T88)-1)),0)</f>
        <v>0</v>
      </c>
      <c r="E88" s="16">
        <f>IFERROR(MID(발주발송관리!T88,FIND(" ",발주발송관리!T88)+1,LEN(발주발송관리!T88)-FIND(" ",발주발송관리!T88)+1),0)</f>
        <v>0</v>
      </c>
      <c r="F88" s="16">
        <f>발주발송관리!W88</f>
        <v>0</v>
      </c>
      <c r="G88" s="11">
        <f>발주발송관리!Y88</f>
        <v>0</v>
      </c>
      <c r="H88" s="17">
        <f>발주발송관리!Z88/1.6</f>
        <v>0</v>
      </c>
      <c r="I88" s="10"/>
      <c r="J88" s="10"/>
      <c r="K88" s="11"/>
      <c r="L88" s="11"/>
      <c r="M88" s="16">
        <f>IF(발주발송관리!M88=R88,0,발주발송관리!M88&amp;T88&amp;S88&amp;U88)</f>
        <v>0</v>
      </c>
      <c r="N88" s="16">
        <f>발주발송관리!AZ88</f>
        <v>0</v>
      </c>
      <c r="O88" s="16">
        <f>발주발송관리!AW88</f>
        <v>0</v>
      </c>
      <c r="P88" s="18"/>
      <c r="Q88" s="18">
        <f>발주발송관리!BB88</f>
        <v>0</v>
      </c>
      <c r="S88" s="20" t="str">
        <f t="shared" si="3"/>
        <v/>
      </c>
      <c r="T88" s="20" t="s">
        <v>275</v>
      </c>
      <c r="U88" s="20" t="s">
        <v>285</v>
      </c>
      <c r="V88" s="25" t="s">
        <v>151</v>
      </c>
      <c r="W88" s="25" t="s">
        <v>151</v>
      </c>
    </row>
    <row r="89" spans="1:23" ht="13.5">
      <c r="A89" s="9" t="s">
        <v>295</v>
      </c>
      <c r="B89" s="9" t="s">
        <v>296</v>
      </c>
      <c r="C89" s="16">
        <f t="shared" si="4"/>
        <v>0</v>
      </c>
      <c r="D89" s="16">
        <f>IFERROR(TRIM(LEFT(발주발송관리!T89,FIND(" ",발주발송관리!T89)-1)),0)</f>
        <v>0</v>
      </c>
      <c r="E89" s="16">
        <f>IFERROR(MID(발주발송관리!T89,FIND(" ",발주발송관리!T89)+1,LEN(발주발송관리!T89)-FIND(" ",발주발송관리!T89)+1),0)</f>
        <v>0</v>
      </c>
      <c r="F89" s="16">
        <f>발주발송관리!W89</f>
        <v>0</v>
      </c>
      <c r="G89" s="11">
        <f>발주발송관리!Y89</f>
        <v>0</v>
      </c>
      <c r="H89" s="17">
        <f>발주발송관리!Z89/1.6</f>
        <v>0</v>
      </c>
      <c r="I89" s="10"/>
      <c r="J89" s="10"/>
      <c r="K89" s="11"/>
      <c r="L89" s="11"/>
      <c r="M89" s="16">
        <f>IF(발주발송관리!M89=R89,0,발주발송관리!M89&amp;T89&amp;S89&amp;U89)</f>
        <v>0</v>
      </c>
      <c r="N89" s="16">
        <f>발주발송관리!AZ89</f>
        <v>0</v>
      </c>
      <c r="O89" s="16">
        <f>발주발송관리!AW89</f>
        <v>0</v>
      </c>
      <c r="P89" s="18"/>
      <c r="Q89" s="18">
        <f>발주발송관리!BB89</f>
        <v>0</v>
      </c>
      <c r="S89" s="20" t="str">
        <f t="shared" si="3"/>
        <v/>
      </c>
      <c r="T89" s="20" t="s">
        <v>275</v>
      </c>
      <c r="U89" s="20" t="s">
        <v>285</v>
      </c>
      <c r="V89" s="25" t="s">
        <v>152</v>
      </c>
      <c r="W89" s="25" t="s">
        <v>152</v>
      </c>
    </row>
    <row r="90" spans="1:23" ht="13.5">
      <c r="A90" s="9" t="s">
        <v>295</v>
      </c>
      <c r="B90" s="9" t="s">
        <v>296</v>
      </c>
      <c r="C90" s="16">
        <f t="shared" si="4"/>
        <v>0</v>
      </c>
      <c r="D90" s="16">
        <f>IFERROR(TRIM(LEFT(발주발송관리!T90,FIND(" ",발주발송관리!T90)-1)),0)</f>
        <v>0</v>
      </c>
      <c r="E90" s="16">
        <f>IFERROR(MID(발주발송관리!T90,FIND(" ",발주발송관리!T90)+1,LEN(발주발송관리!T90)-FIND(" ",발주발송관리!T90)+1),0)</f>
        <v>0</v>
      </c>
      <c r="F90" s="16">
        <f>발주발송관리!W90</f>
        <v>0</v>
      </c>
      <c r="G90" s="11">
        <f>발주발송관리!Y90</f>
        <v>0</v>
      </c>
      <c r="H90" s="17">
        <f>발주발송관리!Z90/1.6</f>
        <v>0</v>
      </c>
      <c r="I90" s="10"/>
      <c r="J90" s="10"/>
      <c r="K90" s="11"/>
      <c r="L90" s="11"/>
      <c r="M90" s="16">
        <f>IF(발주발송관리!M90=R90,0,발주발송관리!M90&amp;T90&amp;S90&amp;U90)</f>
        <v>0</v>
      </c>
      <c r="N90" s="16">
        <f>발주발송관리!AZ90</f>
        <v>0</v>
      </c>
      <c r="O90" s="16">
        <f>발주발송관리!AW90</f>
        <v>0</v>
      </c>
      <c r="P90" s="18"/>
      <c r="Q90" s="18">
        <f>발주발송관리!BB90</f>
        <v>0</v>
      </c>
      <c r="S90" s="20" t="str">
        <f t="shared" si="3"/>
        <v/>
      </c>
      <c r="T90" s="20" t="s">
        <v>275</v>
      </c>
      <c r="U90" s="20" t="s">
        <v>285</v>
      </c>
      <c r="V90" s="25" t="s">
        <v>153</v>
      </c>
      <c r="W90" s="25" t="s">
        <v>153</v>
      </c>
    </row>
    <row r="91" spans="1:23" ht="13.5">
      <c r="A91" s="9" t="s">
        <v>295</v>
      </c>
      <c r="B91" s="9" t="s">
        <v>296</v>
      </c>
      <c r="C91" s="16">
        <f t="shared" si="4"/>
        <v>0</v>
      </c>
      <c r="D91" s="16">
        <f>IFERROR(TRIM(LEFT(발주발송관리!T91,FIND(" ",발주발송관리!T91)-1)),0)</f>
        <v>0</v>
      </c>
      <c r="E91" s="16">
        <f>IFERROR(MID(발주발송관리!T91,FIND(" ",발주발송관리!T91)+1,LEN(발주발송관리!T91)-FIND(" ",발주발송관리!T91)+1),0)</f>
        <v>0</v>
      </c>
      <c r="F91" s="16">
        <f>발주발송관리!W91</f>
        <v>0</v>
      </c>
      <c r="G91" s="11">
        <f>발주발송관리!Y91</f>
        <v>0</v>
      </c>
      <c r="H91" s="17">
        <f>발주발송관리!Z91/1.6</f>
        <v>0</v>
      </c>
      <c r="I91" s="10"/>
      <c r="J91" s="10"/>
      <c r="K91" s="11"/>
      <c r="L91" s="11"/>
      <c r="M91" s="16">
        <f>IF(발주발송관리!M91=R91,0,발주발송관리!M91&amp;T91&amp;S91&amp;U91)</f>
        <v>0</v>
      </c>
      <c r="N91" s="16">
        <f>발주발송관리!AZ91</f>
        <v>0</v>
      </c>
      <c r="O91" s="16">
        <f>발주발송관리!AW91</f>
        <v>0</v>
      </c>
      <c r="P91" s="18"/>
      <c r="Q91" s="18">
        <f>발주발송관리!BB91</f>
        <v>0</v>
      </c>
      <c r="S91" s="20" t="str">
        <f t="shared" si="3"/>
        <v/>
      </c>
      <c r="T91" s="20" t="s">
        <v>275</v>
      </c>
      <c r="U91" s="20" t="s">
        <v>285</v>
      </c>
      <c r="V91" s="25" t="s">
        <v>154</v>
      </c>
      <c r="W91" s="25" t="s">
        <v>154</v>
      </c>
    </row>
    <row r="92" spans="1:23" ht="13.5">
      <c r="A92" s="9" t="s">
        <v>295</v>
      </c>
      <c r="B92" s="9" t="s">
        <v>296</v>
      </c>
      <c r="C92" s="16">
        <f t="shared" si="4"/>
        <v>0</v>
      </c>
      <c r="D92" s="16">
        <f>IFERROR(TRIM(LEFT(발주발송관리!T92,FIND(" ",발주발송관리!T92)-1)),0)</f>
        <v>0</v>
      </c>
      <c r="E92" s="16">
        <f>IFERROR(MID(발주발송관리!T92,FIND(" ",발주발송관리!T92)+1,LEN(발주발송관리!T92)-FIND(" ",발주발송관리!T92)+1),0)</f>
        <v>0</v>
      </c>
      <c r="F92" s="16">
        <f>발주발송관리!W92</f>
        <v>0</v>
      </c>
      <c r="G92" s="11">
        <f>발주발송관리!Y92</f>
        <v>0</v>
      </c>
      <c r="H92" s="17">
        <f>발주발송관리!Z92/1.6</f>
        <v>0</v>
      </c>
      <c r="I92" s="10"/>
      <c r="J92" s="10"/>
      <c r="K92" s="11"/>
      <c r="L92" s="11"/>
      <c r="M92" s="16">
        <f>IF(발주발송관리!M92=R92,0,발주발송관리!M92&amp;T92&amp;S92&amp;U92)</f>
        <v>0</v>
      </c>
      <c r="N92" s="16">
        <f>발주발송관리!AZ92</f>
        <v>0</v>
      </c>
      <c r="O92" s="16">
        <f>발주발송관리!AW92</f>
        <v>0</v>
      </c>
      <c r="P92" s="18"/>
      <c r="Q92" s="18">
        <f>발주발송관리!BB92</f>
        <v>0</v>
      </c>
      <c r="S92" s="20" t="str">
        <f t="shared" si="3"/>
        <v/>
      </c>
      <c r="T92" s="20" t="s">
        <v>275</v>
      </c>
      <c r="U92" s="20" t="s">
        <v>285</v>
      </c>
      <c r="V92" s="25" t="s">
        <v>155</v>
      </c>
      <c r="W92" s="25" t="s">
        <v>155</v>
      </c>
    </row>
    <row r="93" spans="1:23" ht="13.5">
      <c r="A93" s="9" t="s">
        <v>295</v>
      </c>
      <c r="B93" s="9" t="s">
        <v>296</v>
      </c>
      <c r="C93" s="16">
        <f t="shared" si="4"/>
        <v>0</v>
      </c>
      <c r="D93" s="16">
        <f>IFERROR(TRIM(LEFT(발주발송관리!T93,FIND(" ",발주발송관리!T93)-1)),0)</f>
        <v>0</v>
      </c>
      <c r="E93" s="16">
        <f>IFERROR(MID(발주발송관리!T93,FIND(" ",발주발송관리!T93)+1,LEN(발주발송관리!T93)-FIND(" ",발주발송관리!T93)+1),0)</f>
        <v>0</v>
      </c>
      <c r="F93" s="16">
        <f>발주발송관리!W93</f>
        <v>0</v>
      </c>
      <c r="G93" s="11">
        <f>발주발송관리!Y93</f>
        <v>0</v>
      </c>
      <c r="H93" s="17">
        <f>발주발송관리!Z93/1.6</f>
        <v>0</v>
      </c>
      <c r="I93" s="10"/>
      <c r="J93" s="10"/>
      <c r="K93" s="11"/>
      <c r="L93" s="11"/>
      <c r="M93" s="16">
        <f>IF(발주발송관리!M93=R93,0,발주발송관리!M93&amp;T93&amp;S93&amp;U93)</f>
        <v>0</v>
      </c>
      <c r="N93" s="16">
        <f>발주발송관리!AZ93</f>
        <v>0</v>
      </c>
      <c r="O93" s="16">
        <f>발주발송관리!AW93</f>
        <v>0</v>
      </c>
      <c r="P93" s="18"/>
      <c r="Q93" s="18">
        <f>발주발송관리!BB93</f>
        <v>0</v>
      </c>
      <c r="S93" s="20" t="str">
        <f t="shared" si="3"/>
        <v/>
      </c>
      <c r="T93" s="20" t="s">
        <v>275</v>
      </c>
      <c r="U93" s="20" t="s">
        <v>285</v>
      </c>
      <c r="V93" s="25" t="s">
        <v>156</v>
      </c>
      <c r="W93" s="25" t="s">
        <v>156</v>
      </c>
    </row>
    <row r="94" spans="1:23" ht="13.5">
      <c r="A94" s="9" t="s">
        <v>295</v>
      </c>
      <c r="B94" s="9" t="s">
        <v>296</v>
      </c>
      <c r="C94" s="16">
        <f t="shared" si="4"/>
        <v>0</v>
      </c>
      <c r="D94" s="16">
        <f>IFERROR(TRIM(LEFT(발주발송관리!T94,FIND(" ",발주발송관리!T94)-1)),0)</f>
        <v>0</v>
      </c>
      <c r="E94" s="16">
        <f>IFERROR(MID(발주발송관리!T94,FIND(" ",발주발송관리!T94)+1,LEN(발주발송관리!T94)-FIND(" ",발주발송관리!T94)+1),0)</f>
        <v>0</v>
      </c>
      <c r="F94" s="16">
        <f>발주발송관리!W94</f>
        <v>0</v>
      </c>
      <c r="G94" s="11">
        <f>발주발송관리!Y94</f>
        <v>0</v>
      </c>
      <c r="H94" s="17">
        <f>발주발송관리!Z94/1.6</f>
        <v>0</v>
      </c>
      <c r="I94" s="10"/>
      <c r="J94" s="10"/>
      <c r="K94" s="11"/>
      <c r="L94" s="11"/>
      <c r="M94" s="16">
        <f>IF(발주발송관리!M94=R94,0,발주발송관리!M94&amp;T94&amp;S94&amp;U94)</f>
        <v>0</v>
      </c>
      <c r="N94" s="16">
        <f>발주발송관리!AZ94</f>
        <v>0</v>
      </c>
      <c r="O94" s="16">
        <f>발주발송관리!AW94</f>
        <v>0</v>
      </c>
      <c r="P94" s="18"/>
      <c r="Q94" s="18">
        <f>발주발송관리!BB94</f>
        <v>0</v>
      </c>
      <c r="S94" s="20" t="str">
        <f t="shared" si="3"/>
        <v/>
      </c>
      <c r="T94" s="20" t="s">
        <v>275</v>
      </c>
      <c r="U94" s="20" t="s">
        <v>285</v>
      </c>
      <c r="V94" s="25" t="s">
        <v>157</v>
      </c>
      <c r="W94" s="25" t="s">
        <v>157</v>
      </c>
    </row>
    <row r="95" spans="1:23" ht="13.5">
      <c r="A95" s="9" t="s">
        <v>295</v>
      </c>
      <c r="B95" s="9" t="s">
        <v>296</v>
      </c>
      <c r="C95" s="16">
        <f t="shared" si="4"/>
        <v>0</v>
      </c>
      <c r="D95" s="16">
        <f>IFERROR(TRIM(LEFT(발주발송관리!T95,FIND(" ",발주발송관리!T95)-1)),0)</f>
        <v>0</v>
      </c>
      <c r="E95" s="16">
        <f>IFERROR(MID(발주발송관리!T95,FIND(" ",발주발송관리!T95)+1,LEN(발주발송관리!T95)-FIND(" ",발주발송관리!T95)+1),0)</f>
        <v>0</v>
      </c>
      <c r="F95" s="16">
        <f>발주발송관리!W95</f>
        <v>0</v>
      </c>
      <c r="G95" s="11">
        <f>발주발송관리!Y95</f>
        <v>0</v>
      </c>
      <c r="H95" s="17">
        <f>발주발송관리!Z95/1.6</f>
        <v>0</v>
      </c>
      <c r="I95" s="10"/>
      <c r="J95" s="10"/>
      <c r="K95" s="11"/>
      <c r="L95" s="11"/>
      <c r="M95" s="16">
        <f>IF(발주발송관리!M95=R95,0,발주발송관리!M95&amp;T95&amp;S95&amp;U95)</f>
        <v>0</v>
      </c>
      <c r="N95" s="16">
        <f>발주발송관리!AZ95</f>
        <v>0</v>
      </c>
      <c r="O95" s="16">
        <f>발주발송관리!AW95</f>
        <v>0</v>
      </c>
      <c r="P95" s="18"/>
      <c r="Q95" s="18">
        <f>발주발송관리!BB95</f>
        <v>0</v>
      </c>
      <c r="S95" s="20" t="str">
        <f t="shared" si="3"/>
        <v/>
      </c>
      <c r="T95" s="20" t="s">
        <v>275</v>
      </c>
      <c r="U95" s="20" t="s">
        <v>285</v>
      </c>
      <c r="V95" s="25" t="s">
        <v>158</v>
      </c>
      <c r="W95" s="25" t="s">
        <v>158</v>
      </c>
    </row>
    <row r="96" spans="1:23" ht="13.5">
      <c r="A96" s="9" t="s">
        <v>295</v>
      </c>
      <c r="B96" s="9" t="s">
        <v>296</v>
      </c>
      <c r="C96" s="16">
        <f t="shared" si="4"/>
        <v>0</v>
      </c>
      <c r="D96" s="16">
        <f>IFERROR(TRIM(LEFT(발주발송관리!T96,FIND(" ",발주발송관리!T96)-1)),0)</f>
        <v>0</v>
      </c>
      <c r="E96" s="16">
        <f>IFERROR(MID(발주발송관리!T96,FIND(" ",발주발송관리!T96)+1,LEN(발주발송관리!T96)-FIND(" ",발주발송관리!T96)+1),0)</f>
        <v>0</v>
      </c>
      <c r="F96" s="16">
        <f>발주발송관리!W96</f>
        <v>0</v>
      </c>
      <c r="G96" s="11">
        <f>발주발송관리!Y96</f>
        <v>0</v>
      </c>
      <c r="H96" s="17">
        <f>발주발송관리!Z96/1.6</f>
        <v>0</v>
      </c>
      <c r="I96" s="10"/>
      <c r="J96" s="10"/>
      <c r="K96" s="11"/>
      <c r="L96" s="11"/>
      <c r="M96" s="16">
        <f>IF(발주발송관리!M96=R96,0,발주발송관리!M96&amp;T96&amp;S96&amp;U96)</f>
        <v>0</v>
      </c>
      <c r="N96" s="16">
        <f>발주발송관리!AZ96</f>
        <v>0</v>
      </c>
      <c r="O96" s="16">
        <f>발주발송관리!AW96</f>
        <v>0</v>
      </c>
      <c r="P96" s="18"/>
      <c r="Q96" s="18">
        <f>발주발송관리!BB96</f>
        <v>0</v>
      </c>
      <c r="S96" s="20" t="str">
        <f t="shared" si="3"/>
        <v/>
      </c>
      <c r="T96" s="20" t="s">
        <v>275</v>
      </c>
      <c r="U96" s="20" t="s">
        <v>285</v>
      </c>
      <c r="V96" s="25" t="s">
        <v>159</v>
      </c>
      <c r="W96" s="25" t="s">
        <v>159</v>
      </c>
    </row>
    <row r="97" spans="1:23" ht="13.5">
      <c r="A97" s="9" t="s">
        <v>295</v>
      </c>
      <c r="B97" s="9" t="s">
        <v>296</v>
      </c>
      <c r="C97" s="16">
        <f t="shared" si="4"/>
        <v>0</v>
      </c>
      <c r="D97" s="16">
        <f>IFERROR(TRIM(LEFT(발주발송관리!T97,FIND(" ",발주발송관리!T97)-1)),0)</f>
        <v>0</v>
      </c>
      <c r="E97" s="16">
        <f>IFERROR(MID(발주발송관리!T97,FIND(" ",발주발송관리!T97)+1,LEN(발주발송관리!T97)-FIND(" ",발주발송관리!T97)+1),0)</f>
        <v>0</v>
      </c>
      <c r="F97" s="16">
        <f>발주발송관리!W97</f>
        <v>0</v>
      </c>
      <c r="G97" s="11">
        <f>발주발송관리!Y97</f>
        <v>0</v>
      </c>
      <c r="H97" s="17">
        <f>발주발송관리!Z97/1.6</f>
        <v>0</v>
      </c>
      <c r="I97" s="10"/>
      <c r="J97" s="10"/>
      <c r="K97" s="11"/>
      <c r="L97" s="11"/>
      <c r="M97" s="16">
        <f>IF(발주발송관리!M97=R97,0,발주발송관리!M97&amp;T97&amp;S97&amp;U97)</f>
        <v>0</v>
      </c>
      <c r="N97" s="16">
        <f>발주발송관리!AZ97</f>
        <v>0</v>
      </c>
      <c r="O97" s="16">
        <f>발주발송관리!AW97</f>
        <v>0</v>
      </c>
      <c r="P97" s="18"/>
      <c r="Q97" s="18">
        <f>발주발송관리!BB97</f>
        <v>0</v>
      </c>
      <c r="S97" s="20" t="str">
        <f t="shared" si="3"/>
        <v/>
      </c>
      <c r="T97" s="20" t="s">
        <v>275</v>
      </c>
      <c r="U97" s="20" t="s">
        <v>285</v>
      </c>
      <c r="V97" s="25" t="s">
        <v>160</v>
      </c>
      <c r="W97" s="25" t="s">
        <v>160</v>
      </c>
    </row>
    <row r="98" spans="1:23" ht="13.5">
      <c r="A98" s="9" t="s">
        <v>295</v>
      </c>
      <c r="B98" s="9" t="s">
        <v>296</v>
      </c>
      <c r="C98" s="16">
        <f t="shared" si="4"/>
        <v>0</v>
      </c>
      <c r="D98" s="16">
        <f>IFERROR(TRIM(LEFT(발주발송관리!T98,FIND(" ",발주발송관리!T98)-1)),0)</f>
        <v>0</v>
      </c>
      <c r="E98" s="16">
        <f>IFERROR(MID(발주발송관리!T98,FIND(" ",발주발송관리!T98)+1,LEN(발주발송관리!T98)-FIND(" ",발주발송관리!T98)+1),0)</f>
        <v>0</v>
      </c>
      <c r="F98" s="16">
        <f>발주발송관리!W98</f>
        <v>0</v>
      </c>
      <c r="G98" s="11">
        <f>발주발송관리!Y98</f>
        <v>0</v>
      </c>
      <c r="H98" s="17">
        <f>발주발송관리!Z98/1.6</f>
        <v>0</v>
      </c>
      <c r="I98" s="10"/>
      <c r="J98" s="10"/>
      <c r="K98" s="11"/>
      <c r="L98" s="11"/>
      <c r="M98" s="16">
        <f>IF(발주발송관리!M98=R98,0,발주발송관리!M98&amp;T98&amp;S98&amp;U98)</f>
        <v>0</v>
      </c>
      <c r="N98" s="16">
        <f>발주발송관리!AZ98</f>
        <v>0</v>
      </c>
      <c r="O98" s="16">
        <f>발주발송관리!AW98</f>
        <v>0</v>
      </c>
      <c r="P98" s="18"/>
      <c r="Q98" s="18">
        <f>발주발송관리!BB98</f>
        <v>0</v>
      </c>
      <c r="S98" s="20" t="str">
        <f t="shared" si="3"/>
        <v/>
      </c>
      <c r="T98" s="20" t="s">
        <v>275</v>
      </c>
      <c r="U98" s="20" t="s">
        <v>285</v>
      </c>
      <c r="V98" s="25" t="s">
        <v>161</v>
      </c>
      <c r="W98" s="25" t="s">
        <v>161</v>
      </c>
    </row>
    <row r="99" spans="1:23" ht="13.5">
      <c r="A99" s="9" t="s">
        <v>295</v>
      </c>
      <c r="B99" s="9" t="s">
        <v>296</v>
      </c>
      <c r="C99" s="16">
        <f t="shared" si="4"/>
        <v>0</v>
      </c>
      <c r="D99" s="16">
        <f>IFERROR(TRIM(LEFT(발주발송관리!T99,FIND(" ",발주발송관리!T99)-1)),0)</f>
        <v>0</v>
      </c>
      <c r="E99" s="16">
        <f>IFERROR(MID(발주발송관리!T99,FIND(" ",발주발송관리!T99)+1,LEN(발주발송관리!T99)-FIND(" ",발주발송관리!T99)+1),0)</f>
        <v>0</v>
      </c>
      <c r="F99" s="16">
        <f>발주발송관리!W99</f>
        <v>0</v>
      </c>
      <c r="G99" s="11">
        <f>발주발송관리!Y99</f>
        <v>0</v>
      </c>
      <c r="H99" s="17">
        <f>발주발송관리!Z99/1.6</f>
        <v>0</v>
      </c>
      <c r="I99" s="10"/>
      <c r="J99" s="10"/>
      <c r="K99" s="11"/>
      <c r="L99" s="11"/>
      <c r="M99" s="16">
        <f>IF(발주발송관리!M99=R99,0,발주발송관리!M99&amp;T99&amp;S99&amp;U99)</f>
        <v>0</v>
      </c>
      <c r="N99" s="16">
        <f>발주발송관리!AZ99</f>
        <v>0</v>
      </c>
      <c r="O99" s="16">
        <f>발주발송관리!AW99</f>
        <v>0</v>
      </c>
      <c r="P99" s="18"/>
      <c r="Q99" s="18">
        <f>발주발송관리!BB99</f>
        <v>0</v>
      </c>
      <c r="S99" s="20" t="str">
        <f t="shared" si="3"/>
        <v/>
      </c>
      <c r="T99" s="20" t="s">
        <v>275</v>
      </c>
      <c r="U99" s="20" t="s">
        <v>285</v>
      </c>
      <c r="V99" s="25" t="s">
        <v>162</v>
      </c>
      <c r="W99" s="25" t="s">
        <v>162</v>
      </c>
    </row>
    <row r="100" spans="1:23" ht="13.5">
      <c r="A100" s="9" t="s">
        <v>295</v>
      </c>
      <c r="B100" s="9" t="s">
        <v>296</v>
      </c>
      <c r="C100" s="16">
        <f t="shared" si="4"/>
        <v>0</v>
      </c>
      <c r="D100" s="16">
        <f>IFERROR(TRIM(LEFT(발주발송관리!T100,FIND(" ",발주발송관리!T100)-1)),0)</f>
        <v>0</v>
      </c>
      <c r="E100" s="16">
        <f>IFERROR(MID(발주발송관리!T100,FIND(" ",발주발송관리!T100)+1,LEN(발주발송관리!T100)-FIND(" ",발주발송관리!T100)+1),0)</f>
        <v>0</v>
      </c>
      <c r="F100" s="16">
        <f>발주발송관리!W100</f>
        <v>0</v>
      </c>
      <c r="G100" s="11">
        <f>발주발송관리!Y100</f>
        <v>0</v>
      </c>
      <c r="H100" s="17">
        <f>발주발송관리!Z100/1.6</f>
        <v>0</v>
      </c>
      <c r="I100" s="10"/>
      <c r="J100" s="10"/>
      <c r="K100" s="11"/>
      <c r="L100" s="11"/>
      <c r="M100" s="16">
        <f>IF(발주발송관리!M100=R100,0,발주발송관리!M100&amp;T100&amp;S100&amp;U100)</f>
        <v>0</v>
      </c>
      <c r="N100" s="16">
        <f>발주발송관리!AZ100</f>
        <v>0</v>
      </c>
      <c r="O100" s="16">
        <f>발주발송관리!AW100</f>
        <v>0</v>
      </c>
      <c r="P100" s="18"/>
      <c r="Q100" s="18">
        <f>발주발송관리!BB100</f>
        <v>0</v>
      </c>
      <c r="S100" s="20" t="str">
        <f t="shared" si="3"/>
        <v/>
      </c>
      <c r="T100" s="20" t="s">
        <v>275</v>
      </c>
      <c r="U100" s="20" t="s">
        <v>285</v>
      </c>
      <c r="V100" s="25" t="s">
        <v>163</v>
      </c>
      <c r="W100" s="25" t="s">
        <v>163</v>
      </c>
    </row>
    <row r="101" spans="1:23" ht="13.5">
      <c r="A101" s="9" t="s">
        <v>295</v>
      </c>
      <c r="B101" s="9" t="s">
        <v>296</v>
      </c>
      <c r="C101" s="16">
        <f t="shared" si="4"/>
        <v>0</v>
      </c>
      <c r="D101" s="16">
        <f>IFERROR(TRIM(LEFT(발주발송관리!T101,FIND(" ",발주발송관리!T101)-1)),0)</f>
        <v>0</v>
      </c>
      <c r="E101" s="16">
        <f>IFERROR(MID(발주발송관리!T101,FIND(" ",발주발송관리!T101)+1,LEN(발주발송관리!T101)-FIND(" ",발주발송관리!T101)+1),0)</f>
        <v>0</v>
      </c>
      <c r="F101" s="16">
        <f>발주발송관리!W101</f>
        <v>0</v>
      </c>
      <c r="G101" s="11">
        <f>발주발송관리!Y101</f>
        <v>0</v>
      </c>
      <c r="H101" s="17">
        <f>발주발송관리!Z101/1.6</f>
        <v>0</v>
      </c>
      <c r="I101" s="10"/>
      <c r="J101" s="10"/>
      <c r="K101" s="11"/>
      <c r="L101" s="11"/>
      <c r="M101" s="16">
        <f>IF(발주발송관리!M101=R101,0,발주발송관리!M101&amp;T101&amp;S101&amp;U101)</f>
        <v>0</v>
      </c>
      <c r="N101" s="16">
        <f>발주발송관리!AZ101</f>
        <v>0</v>
      </c>
      <c r="O101" s="16">
        <f>발주발송관리!AW101</f>
        <v>0</v>
      </c>
      <c r="P101" s="18"/>
      <c r="Q101" s="18">
        <f>발주발송관리!BB101</f>
        <v>0</v>
      </c>
      <c r="S101" s="20" t="str">
        <f t="shared" si="3"/>
        <v/>
      </c>
      <c r="T101" s="20" t="s">
        <v>275</v>
      </c>
      <c r="U101" s="20" t="s">
        <v>285</v>
      </c>
      <c r="V101" s="25" t="s">
        <v>164</v>
      </c>
      <c r="W101" s="25" t="s">
        <v>164</v>
      </c>
    </row>
    <row r="102" spans="1:23" ht="13.5">
      <c r="A102" s="9" t="s">
        <v>295</v>
      </c>
      <c r="B102" s="9" t="s">
        <v>296</v>
      </c>
      <c r="C102" s="16">
        <f t="shared" si="4"/>
        <v>0</v>
      </c>
      <c r="D102" s="16">
        <f>IFERROR(TRIM(LEFT(발주발송관리!T102,FIND(" ",발주발송관리!T102)-1)),0)</f>
        <v>0</v>
      </c>
      <c r="E102" s="16">
        <f>IFERROR(MID(발주발송관리!T102,FIND(" ",발주발송관리!T102)+1,LEN(발주발송관리!T102)-FIND(" ",발주발송관리!T102)+1),0)</f>
        <v>0</v>
      </c>
      <c r="F102" s="16">
        <f>발주발송관리!W102</f>
        <v>0</v>
      </c>
      <c r="G102" s="11">
        <f>발주발송관리!Y102</f>
        <v>0</v>
      </c>
      <c r="H102" s="17">
        <f>발주발송관리!Z102/1.6</f>
        <v>0</v>
      </c>
      <c r="I102" s="10"/>
      <c r="J102" s="10"/>
      <c r="K102" s="11"/>
      <c r="L102" s="11"/>
      <c r="M102" s="16">
        <f>IF(발주발송관리!M102=R102,0,발주발송관리!M102&amp;T102&amp;S102&amp;U102)</f>
        <v>0</v>
      </c>
      <c r="N102" s="16">
        <f>발주발송관리!AZ102</f>
        <v>0</v>
      </c>
      <c r="O102" s="16">
        <f>발주발송관리!AW102</f>
        <v>0</v>
      </c>
      <c r="P102" s="18"/>
      <c r="Q102" s="18">
        <f>발주발송관리!BB102</f>
        <v>0</v>
      </c>
      <c r="S102" s="20" t="str">
        <f t="shared" si="3"/>
        <v/>
      </c>
      <c r="T102" s="20" t="s">
        <v>275</v>
      </c>
      <c r="U102" s="20" t="s">
        <v>285</v>
      </c>
      <c r="V102" s="25" t="s">
        <v>165</v>
      </c>
      <c r="W102" s="25" t="s">
        <v>165</v>
      </c>
    </row>
    <row r="103" spans="1:23" ht="13.5">
      <c r="A103" s="9" t="s">
        <v>295</v>
      </c>
      <c r="B103" s="9" t="s">
        <v>296</v>
      </c>
      <c r="C103" s="16">
        <f t="shared" si="4"/>
        <v>0</v>
      </c>
      <c r="D103" s="16">
        <f>IFERROR(TRIM(LEFT(발주발송관리!T103,FIND(" ",발주발송관리!T103)-1)),0)</f>
        <v>0</v>
      </c>
      <c r="E103" s="16">
        <f>IFERROR(MID(발주발송관리!T103,FIND(" ",발주발송관리!T103)+1,LEN(발주발송관리!T103)-FIND(" ",발주발송관리!T103)+1),0)</f>
        <v>0</v>
      </c>
      <c r="F103" s="16">
        <f>발주발송관리!W103</f>
        <v>0</v>
      </c>
      <c r="G103" s="11">
        <f>발주발송관리!Y103</f>
        <v>0</v>
      </c>
      <c r="H103" s="17">
        <f>발주발송관리!Z103/1.6</f>
        <v>0</v>
      </c>
      <c r="I103" s="10"/>
      <c r="J103" s="10"/>
      <c r="K103" s="11"/>
      <c r="L103" s="11"/>
      <c r="M103" s="16">
        <f>IF(발주발송관리!M103=R103,0,발주발송관리!M103&amp;T103&amp;S103&amp;U103)</f>
        <v>0</v>
      </c>
      <c r="N103" s="16">
        <f>발주발송관리!AZ103</f>
        <v>0</v>
      </c>
      <c r="O103" s="16">
        <f>발주발송관리!AW103</f>
        <v>0</v>
      </c>
      <c r="P103" s="18"/>
      <c r="Q103" s="18">
        <f>발주발송관리!BB103</f>
        <v>0</v>
      </c>
      <c r="S103" s="20" t="str">
        <f t="shared" si="3"/>
        <v/>
      </c>
      <c r="T103" s="20" t="s">
        <v>275</v>
      </c>
      <c r="U103" s="20" t="s">
        <v>285</v>
      </c>
      <c r="V103" s="24" t="s">
        <v>266</v>
      </c>
      <c r="W103" s="24" t="s">
        <v>266</v>
      </c>
    </row>
    <row r="104" spans="1:23" ht="13.5">
      <c r="A104" s="9" t="s">
        <v>295</v>
      </c>
      <c r="B104" s="9" t="s">
        <v>296</v>
      </c>
      <c r="C104" s="16">
        <f t="shared" si="4"/>
        <v>0</v>
      </c>
      <c r="D104" s="16">
        <f>IFERROR(TRIM(LEFT(발주발송관리!T104,FIND(" ",발주발송관리!T104)-1)),0)</f>
        <v>0</v>
      </c>
      <c r="E104" s="16">
        <f>IFERROR(MID(발주발송관리!T104,FIND(" ",발주발송관리!T104)+1,LEN(발주발송관리!T104)-FIND(" ",발주발송관리!T104)+1),0)</f>
        <v>0</v>
      </c>
      <c r="F104" s="16">
        <f>발주발송관리!W104</f>
        <v>0</v>
      </c>
      <c r="G104" s="11">
        <f>발주발송관리!Y104</f>
        <v>0</v>
      </c>
      <c r="H104" s="17">
        <f>발주발송관리!Z104/1.6</f>
        <v>0</v>
      </c>
      <c r="I104" s="10"/>
      <c r="J104" s="10"/>
      <c r="K104" s="11"/>
      <c r="L104" s="11"/>
      <c r="M104" s="16">
        <f>IF(발주발송관리!M104=R104,0,발주발송관리!M104&amp;T104&amp;S104&amp;U104)</f>
        <v>0</v>
      </c>
      <c r="N104" s="16">
        <f>발주발송관리!AZ104</f>
        <v>0</v>
      </c>
      <c r="O104" s="16">
        <f>발주발송관리!AW104</f>
        <v>0</v>
      </c>
      <c r="P104" s="18"/>
      <c r="Q104" s="18">
        <f>발주발송관리!BB104</f>
        <v>0</v>
      </c>
      <c r="S104" s="20" t="str">
        <f t="shared" si="3"/>
        <v/>
      </c>
      <c r="T104" s="20" t="s">
        <v>275</v>
      </c>
      <c r="U104" s="20" t="s">
        <v>285</v>
      </c>
      <c r="V104" s="24" t="s">
        <v>267</v>
      </c>
      <c r="W104" s="24" t="s">
        <v>267</v>
      </c>
    </row>
    <row r="105" spans="1:23" ht="13.5">
      <c r="A105" s="9" t="s">
        <v>295</v>
      </c>
      <c r="B105" s="9" t="s">
        <v>296</v>
      </c>
      <c r="C105" s="16">
        <f t="shared" si="4"/>
        <v>0</v>
      </c>
      <c r="D105" s="16">
        <f>IFERROR(TRIM(LEFT(발주발송관리!T105,FIND(" ",발주발송관리!T105)-1)),0)</f>
        <v>0</v>
      </c>
      <c r="E105" s="16">
        <f>IFERROR(MID(발주발송관리!T105,FIND(" ",발주발송관리!T105)+1,LEN(발주발송관리!T105)-FIND(" ",발주발송관리!T105)+1),0)</f>
        <v>0</v>
      </c>
      <c r="F105" s="16">
        <f>발주발송관리!W105</f>
        <v>0</v>
      </c>
      <c r="G105" s="11">
        <f>발주발송관리!Y105</f>
        <v>0</v>
      </c>
      <c r="H105" s="17">
        <f>발주발송관리!Z105/1.6</f>
        <v>0</v>
      </c>
      <c r="I105" s="10"/>
      <c r="J105" s="10"/>
      <c r="K105" s="11"/>
      <c r="L105" s="11"/>
      <c r="M105" s="16">
        <f>IF(발주발송관리!M105=R105,0,발주발송관리!M105&amp;T105&amp;S105&amp;U105)</f>
        <v>0</v>
      </c>
      <c r="N105" s="16">
        <f>발주발송관리!AZ105</f>
        <v>0</v>
      </c>
      <c r="O105" s="16">
        <f>발주발송관리!AW105</f>
        <v>0</v>
      </c>
      <c r="P105" s="18"/>
      <c r="Q105" s="18">
        <f>발주발송관리!BB105</f>
        <v>0</v>
      </c>
      <c r="S105" s="20" t="str">
        <f t="shared" si="3"/>
        <v/>
      </c>
      <c r="T105" s="20" t="s">
        <v>275</v>
      </c>
      <c r="U105" s="20" t="s">
        <v>285</v>
      </c>
      <c r="V105" s="24" t="s">
        <v>268</v>
      </c>
      <c r="W105" s="24" t="s">
        <v>268</v>
      </c>
    </row>
    <row r="106" spans="1:23" ht="13.5">
      <c r="A106" s="9" t="s">
        <v>295</v>
      </c>
      <c r="B106" s="9" t="s">
        <v>296</v>
      </c>
      <c r="C106" s="16">
        <f t="shared" si="4"/>
        <v>0</v>
      </c>
      <c r="D106" s="16">
        <f>IFERROR(TRIM(LEFT(발주발송관리!T106,FIND(" ",발주발송관리!T106)-1)),0)</f>
        <v>0</v>
      </c>
      <c r="E106" s="16">
        <f>IFERROR(MID(발주발송관리!T106,FIND(" ",발주발송관리!T106)+1,LEN(발주발송관리!T106)-FIND(" ",발주발송관리!T106)+1),0)</f>
        <v>0</v>
      </c>
      <c r="F106" s="16">
        <f>발주발송관리!W106</f>
        <v>0</v>
      </c>
      <c r="G106" s="11">
        <f>발주발송관리!Y106</f>
        <v>0</v>
      </c>
      <c r="H106" s="17">
        <f>발주발송관리!Z106/1.6</f>
        <v>0</v>
      </c>
      <c r="I106" s="10"/>
      <c r="J106" s="10"/>
      <c r="K106" s="11"/>
      <c r="L106" s="11"/>
      <c r="M106" s="16">
        <f>IF(발주발송관리!M106=R106,0,발주발송관리!M106&amp;T106&amp;S106&amp;U106)</f>
        <v>0</v>
      </c>
      <c r="N106" s="16">
        <f>발주발송관리!AZ106</f>
        <v>0</v>
      </c>
      <c r="O106" s="16">
        <f>발주발송관리!AW106</f>
        <v>0</v>
      </c>
      <c r="P106" s="18"/>
      <c r="Q106" s="18">
        <f>발주발송관리!BB106</f>
        <v>0</v>
      </c>
      <c r="S106" s="20" t="str">
        <f t="shared" si="3"/>
        <v/>
      </c>
      <c r="T106" s="20" t="s">
        <v>275</v>
      </c>
      <c r="U106" s="20" t="s">
        <v>285</v>
      </c>
      <c r="V106" s="24" t="s">
        <v>269</v>
      </c>
      <c r="W106" s="24" t="s">
        <v>269</v>
      </c>
    </row>
    <row r="107" spans="1:23" ht="13.5">
      <c r="A107" s="9" t="s">
        <v>295</v>
      </c>
      <c r="B107" s="9" t="s">
        <v>296</v>
      </c>
      <c r="C107" s="16">
        <f t="shared" si="4"/>
        <v>0</v>
      </c>
      <c r="D107" s="16">
        <f>IFERROR(TRIM(LEFT(발주발송관리!T107,FIND(" ",발주발송관리!T107)-1)),0)</f>
        <v>0</v>
      </c>
      <c r="E107" s="16">
        <f>IFERROR(MID(발주발송관리!T107,FIND(" ",발주발송관리!T107)+1,LEN(발주발송관리!T107)-FIND(" ",발주발송관리!T107)+1),0)</f>
        <v>0</v>
      </c>
      <c r="F107" s="16">
        <f>발주발송관리!W107</f>
        <v>0</v>
      </c>
      <c r="G107" s="11">
        <f>발주발송관리!Y107</f>
        <v>0</v>
      </c>
      <c r="H107" s="17">
        <f>발주발송관리!Z107/1.6</f>
        <v>0</v>
      </c>
      <c r="I107" s="10"/>
      <c r="J107" s="10"/>
      <c r="K107" s="11"/>
      <c r="L107" s="11"/>
      <c r="M107" s="16">
        <f>IF(발주발송관리!M107=R107,0,발주발송관리!M107&amp;T107&amp;S107&amp;U107)</f>
        <v>0</v>
      </c>
      <c r="N107" s="16">
        <f>발주발송관리!AZ107</f>
        <v>0</v>
      </c>
      <c r="O107" s="16">
        <f>발주발송관리!AW107</f>
        <v>0</v>
      </c>
      <c r="P107" s="18"/>
      <c r="Q107" s="18">
        <f>발주발송관리!BB107</f>
        <v>0</v>
      </c>
      <c r="S107" s="20" t="str">
        <f t="shared" si="3"/>
        <v/>
      </c>
      <c r="T107" s="20" t="s">
        <v>275</v>
      </c>
      <c r="U107" s="20" t="s">
        <v>285</v>
      </c>
      <c r="V107" s="24" t="s">
        <v>270</v>
      </c>
      <c r="W107" s="24" t="s">
        <v>270</v>
      </c>
    </row>
    <row r="108" spans="1:23" ht="13.5">
      <c r="A108" s="9" t="s">
        <v>295</v>
      </c>
      <c r="B108" s="9" t="s">
        <v>296</v>
      </c>
      <c r="C108" s="16">
        <f t="shared" si="4"/>
        <v>0</v>
      </c>
      <c r="D108" s="16">
        <f>IFERROR(TRIM(LEFT(발주발송관리!T108,FIND(" ",발주발송관리!T108)-1)),0)</f>
        <v>0</v>
      </c>
      <c r="E108" s="16">
        <f>IFERROR(MID(발주발송관리!T108,FIND(" ",발주발송관리!T108)+1,LEN(발주발송관리!T108)-FIND(" ",발주발송관리!T108)+1),0)</f>
        <v>0</v>
      </c>
      <c r="F108" s="16">
        <f>발주발송관리!W108</f>
        <v>0</v>
      </c>
      <c r="G108" s="11">
        <f>발주발송관리!Y108</f>
        <v>0</v>
      </c>
      <c r="H108" s="17">
        <f>발주발송관리!Z108/1.6</f>
        <v>0</v>
      </c>
      <c r="I108" s="10"/>
      <c r="J108" s="10"/>
      <c r="K108" s="11"/>
      <c r="L108" s="11"/>
      <c r="M108" s="16">
        <f>IF(발주발송관리!M108=R108,0,발주발송관리!M108&amp;T108&amp;S108&amp;U108)</f>
        <v>0</v>
      </c>
      <c r="N108" s="16">
        <f>발주발송관리!AZ108</f>
        <v>0</v>
      </c>
      <c r="O108" s="16">
        <f>발주발송관리!AW108</f>
        <v>0</v>
      </c>
      <c r="P108" s="18"/>
      <c r="Q108" s="18">
        <f>발주발송관리!BB108</f>
        <v>0</v>
      </c>
      <c r="S108" s="20" t="str">
        <f t="shared" si="3"/>
        <v/>
      </c>
      <c r="T108" s="20" t="s">
        <v>275</v>
      </c>
      <c r="U108" s="20" t="s">
        <v>285</v>
      </c>
      <c r="V108" s="25" t="s">
        <v>166</v>
      </c>
      <c r="W108" s="24" t="s">
        <v>271</v>
      </c>
    </row>
    <row r="109" spans="1:23" ht="13.5">
      <c r="A109" s="9" t="s">
        <v>295</v>
      </c>
      <c r="B109" s="9" t="s">
        <v>296</v>
      </c>
      <c r="C109" s="16">
        <f t="shared" si="4"/>
        <v>0</v>
      </c>
      <c r="D109" s="16">
        <f>IFERROR(TRIM(LEFT(발주발송관리!T109,FIND(" ",발주발송관리!T109)-1)),0)</f>
        <v>0</v>
      </c>
      <c r="E109" s="16">
        <f>IFERROR(MID(발주발송관리!T109,FIND(" ",발주발송관리!T109)+1,LEN(발주발송관리!T109)-FIND(" ",발주발송관리!T109)+1),0)</f>
        <v>0</v>
      </c>
      <c r="F109" s="16">
        <f>발주발송관리!W109</f>
        <v>0</v>
      </c>
      <c r="G109" s="11">
        <f>발주발송관리!Y109</f>
        <v>0</v>
      </c>
      <c r="H109" s="17">
        <f>발주발송관리!Z109/1.6</f>
        <v>0</v>
      </c>
      <c r="I109" s="10"/>
      <c r="J109" s="10"/>
      <c r="K109" s="11"/>
      <c r="L109" s="11"/>
      <c r="M109" s="16">
        <f>IF(발주발송관리!M109=R109,0,발주발송관리!M109&amp;T109&amp;S109&amp;U109)</f>
        <v>0</v>
      </c>
      <c r="N109" s="16">
        <f>발주발송관리!AZ109</f>
        <v>0</v>
      </c>
      <c r="O109" s="16">
        <f>발주발송관리!AW109</f>
        <v>0</v>
      </c>
      <c r="P109" s="18"/>
      <c r="Q109" s="18">
        <f>발주발송관리!BB109</f>
        <v>0</v>
      </c>
      <c r="S109" s="20" t="str">
        <f t="shared" si="3"/>
        <v/>
      </c>
      <c r="T109" s="20" t="s">
        <v>275</v>
      </c>
      <c r="U109" s="20" t="s">
        <v>285</v>
      </c>
      <c r="V109" s="25" t="s">
        <v>167</v>
      </c>
      <c r="W109" s="24" t="s">
        <v>272</v>
      </c>
    </row>
    <row r="110" spans="1:23" ht="13.5">
      <c r="A110" s="9" t="s">
        <v>295</v>
      </c>
      <c r="B110" s="9" t="s">
        <v>296</v>
      </c>
      <c r="C110" s="16">
        <f t="shared" si="4"/>
        <v>0</v>
      </c>
      <c r="D110" s="16">
        <f>IFERROR(TRIM(LEFT(발주발송관리!T110,FIND(" ",발주발송관리!T110)-1)),0)</f>
        <v>0</v>
      </c>
      <c r="E110" s="16">
        <f>IFERROR(MID(발주발송관리!T110,FIND(" ",발주발송관리!T110)+1,LEN(발주발송관리!T110)-FIND(" ",발주발송관리!T110)+1),0)</f>
        <v>0</v>
      </c>
      <c r="F110" s="16">
        <f>발주발송관리!W110</f>
        <v>0</v>
      </c>
      <c r="G110" s="11">
        <f>발주발송관리!Y110</f>
        <v>0</v>
      </c>
      <c r="H110" s="17">
        <f>발주발송관리!Z110/1.6</f>
        <v>0</v>
      </c>
      <c r="I110" s="10"/>
      <c r="J110" s="10"/>
      <c r="K110" s="11"/>
      <c r="L110" s="11"/>
      <c r="M110" s="16">
        <f>IF(발주발송관리!M110=R110,0,발주발송관리!M110&amp;T110&amp;S110&amp;U110)</f>
        <v>0</v>
      </c>
      <c r="N110" s="16">
        <f>발주발송관리!AZ110</f>
        <v>0</v>
      </c>
      <c r="O110" s="16">
        <f>발주발송관리!AW110</f>
        <v>0</v>
      </c>
      <c r="P110" s="18"/>
      <c r="Q110" s="18">
        <f>발주발송관리!BB110</f>
        <v>0</v>
      </c>
      <c r="S110" s="20" t="str">
        <f t="shared" si="3"/>
        <v/>
      </c>
      <c r="T110" s="20" t="s">
        <v>275</v>
      </c>
      <c r="U110" s="20" t="s">
        <v>285</v>
      </c>
      <c r="V110" s="25" t="s">
        <v>168</v>
      </c>
      <c r="W110" s="25" t="s">
        <v>168</v>
      </c>
    </row>
    <row r="111" spans="1:23" ht="13.5">
      <c r="A111" s="9" t="s">
        <v>295</v>
      </c>
      <c r="B111" s="9" t="s">
        <v>296</v>
      </c>
      <c r="C111" s="16">
        <f t="shared" si="4"/>
        <v>0</v>
      </c>
      <c r="D111" s="16">
        <f>IFERROR(TRIM(LEFT(발주발송관리!T111,FIND(" ",발주발송관리!T111)-1)),0)</f>
        <v>0</v>
      </c>
      <c r="E111" s="16">
        <f>IFERROR(MID(발주발송관리!T111,FIND(" ",발주발송관리!T111)+1,LEN(발주발송관리!T111)-FIND(" ",발주발송관리!T111)+1),0)</f>
        <v>0</v>
      </c>
      <c r="F111" s="16">
        <f>발주발송관리!W111</f>
        <v>0</v>
      </c>
      <c r="G111" s="11">
        <f>발주발송관리!Y111</f>
        <v>0</v>
      </c>
      <c r="H111" s="17">
        <f>발주발송관리!Z111/1.6</f>
        <v>0</v>
      </c>
      <c r="I111" s="10"/>
      <c r="J111" s="10"/>
      <c r="K111" s="11"/>
      <c r="L111" s="11"/>
      <c r="M111" s="16">
        <f>IF(발주발송관리!M111=R111,0,발주발송관리!M111&amp;T111&amp;S111&amp;U111)</f>
        <v>0</v>
      </c>
      <c r="N111" s="16">
        <f>발주발송관리!AZ111</f>
        <v>0</v>
      </c>
      <c r="O111" s="16">
        <f>발주발송관리!AW111</f>
        <v>0</v>
      </c>
      <c r="P111" s="18"/>
      <c r="Q111" s="18">
        <f>발주발송관리!BB111</f>
        <v>0</v>
      </c>
      <c r="S111" s="20" t="str">
        <f t="shared" si="3"/>
        <v/>
      </c>
      <c r="T111" s="20" t="s">
        <v>275</v>
      </c>
      <c r="U111" s="20" t="s">
        <v>285</v>
      </c>
      <c r="V111" s="25" t="s">
        <v>169</v>
      </c>
      <c r="W111" s="25" t="s">
        <v>169</v>
      </c>
    </row>
    <row r="112" spans="1:23" ht="13.5">
      <c r="A112" s="9" t="s">
        <v>295</v>
      </c>
      <c r="B112" s="9" t="s">
        <v>296</v>
      </c>
      <c r="C112" s="16">
        <f t="shared" si="4"/>
        <v>0</v>
      </c>
      <c r="D112" s="16">
        <f>IFERROR(TRIM(LEFT(발주발송관리!T112,FIND(" ",발주발송관리!T112)-1)),0)</f>
        <v>0</v>
      </c>
      <c r="E112" s="16">
        <f>IFERROR(MID(발주발송관리!T112,FIND(" ",발주발송관리!T112)+1,LEN(발주발송관리!T112)-FIND(" ",발주발송관리!T112)+1),0)</f>
        <v>0</v>
      </c>
      <c r="F112" s="16">
        <f>발주발송관리!W112</f>
        <v>0</v>
      </c>
      <c r="G112" s="11">
        <f>발주발송관리!Y112</f>
        <v>0</v>
      </c>
      <c r="H112" s="17">
        <f>발주발송관리!Z112/1.6</f>
        <v>0</v>
      </c>
      <c r="I112" s="10"/>
      <c r="J112" s="10"/>
      <c r="K112" s="11"/>
      <c r="L112" s="11"/>
      <c r="M112" s="16">
        <f>IF(발주발송관리!M112=R112,0,발주발송관리!M112&amp;T112&amp;S112&amp;U112)</f>
        <v>0</v>
      </c>
      <c r="N112" s="16">
        <f>발주발송관리!AZ112</f>
        <v>0</v>
      </c>
      <c r="O112" s="16">
        <f>발주발송관리!AW112</f>
        <v>0</v>
      </c>
      <c r="P112" s="18"/>
      <c r="Q112" s="18">
        <f>발주발송관리!BB112</f>
        <v>0</v>
      </c>
      <c r="S112" s="20" t="str">
        <f t="shared" si="3"/>
        <v/>
      </c>
      <c r="T112" s="20" t="s">
        <v>275</v>
      </c>
      <c r="U112" s="20" t="s">
        <v>285</v>
      </c>
      <c r="V112" s="25" t="s">
        <v>170</v>
      </c>
      <c r="W112" s="25" t="s">
        <v>170</v>
      </c>
    </row>
    <row r="113" spans="1:23" ht="13.5">
      <c r="A113" s="9" t="s">
        <v>295</v>
      </c>
      <c r="B113" s="9" t="s">
        <v>296</v>
      </c>
      <c r="C113" s="16">
        <f t="shared" si="4"/>
        <v>0</v>
      </c>
      <c r="D113" s="16">
        <f>IFERROR(TRIM(LEFT(발주발송관리!T113,FIND(" ",발주발송관리!T113)-1)),0)</f>
        <v>0</v>
      </c>
      <c r="E113" s="16">
        <f>IFERROR(MID(발주발송관리!T113,FIND(" ",발주발송관리!T113)+1,LEN(발주발송관리!T113)-FIND(" ",발주발송관리!T113)+1),0)</f>
        <v>0</v>
      </c>
      <c r="F113" s="16">
        <f>발주발송관리!W113</f>
        <v>0</v>
      </c>
      <c r="G113" s="11">
        <f>발주발송관리!Y113</f>
        <v>0</v>
      </c>
      <c r="H113" s="17">
        <f>발주발송관리!Z113/1.6</f>
        <v>0</v>
      </c>
      <c r="I113" s="10"/>
      <c r="J113" s="10"/>
      <c r="K113" s="11"/>
      <c r="L113" s="11"/>
      <c r="M113" s="16">
        <f>IF(발주발송관리!M113=R113,0,발주발송관리!M113&amp;T113&amp;S113&amp;U113)</f>
        <v>0</v>
      </c>
      <c r="N113" s="16">
        <f>발주발송관리!AZ113</f>
        <v>0</v>
      </c>
      <c r="O113" s="16">
        <f>발주발송관리!AW113</f>
        <v>0</v>
      </c>
      <c r="P113" s="18"/>
      <c r="Q113" s="18">
        <f>발주발송관리!BB113</f>
        <v>0</v>
      </c>
      <c r="S113" s="20" t="str">
        <f t="shared" si="3"/>
        <v/>
      </c>
      <c r="T113" s="20" t="s">
        <v>275</v>
      </c>
      <c r="U113" s="20" t="s">
        <v>285</v>
      </c>
      <c r="V113" s="25" t="s">
        <v>171</v>
      </c>
      <c r="W113" s="25" t="s">
        <v>171</v>
      </c>
    </row>
    <row r="114" spans="1:23" ht="13.5">
      <c r="A114" s="9" t="s">
        <v>295</v>
      </c>
      <c r="B114" s="9" t="s">
        <v>296</v>
      </c>
      <c r="C114" s="16">
        <f t="shared" si="4"/>
        <v>0</v>
      </c>
      <c r="D114" s="16">
        <f>IFERROR(TRIM(LEFT(발주발송관리!T114,FIND(" ",발주발송관리!T114)-1)),0)</f>
        <v>0</v>
      </c>
      <c r="E114" s="16">
        <f>IFERROR(MID(발주발송관리!T114,FIND(" ",발주발송관리!T114)+1,LEN(발주발송관리!T114)-FIND(" ",발주발송관리!T114)+1),0)</f>
        <v>0</v>
      </c>
      <c r="F114" s="16">
        <f>발주발송관리!W114</f>
        <v>0</v>
      </c>
      <c r="G114" s="11">
        <f>발주발송관리!Y114</f>
        <v>0</v>
      </c>
      <c r="H114" s="17">
        <f>발주발송관리!Z114/1.6</f>
        <v>0</v>
      </c>
      <c r="I114" s="10"/>
      <c r="J114" s="10"/>
      <c r="K114" s="11"/>
      <c r="L114" s="11"/>
      <c r="M114" s="16">
        <f>IF(발주발송관리!M114=R114,0,발주발송관리!M114&amp;T114&amp;S114&amp;U114)</f>
        <v>0</v>
      </c>
      <c r="N114" s="16">
        <f>발주발송관리!AZ114</f>
        <v>0</v>
      </c>
      <c r="O114" s="16">
        <f>발주발송관리!AW114</f>
        <v>0</v>
      </c>
      <c r="P114" s="18"/>
      <c r="Q114" s="18">
        <f>발주발송관리!BB114</f>
        <v>0</v>
      </c>
      <c r="S114" s="20" t="str">
        <f t="shared" si="3"/>
        <v/>
      </c>
      <c r="T114" s="20" t="s">
        <v>275</v>
      </c>
      <c r="U114" s="20" t="s">
        <v>285</v>
      </c>
      <c r="V114" s="25" t="s">
        <v>172</v>
      </c>
      <c r="W114" s="25" t="s">
        <v>172</v>
      </c>
    </row>
    <row r="115" spans="1:23" ht="13.5">
      <c r="A115" s="9" t="s">
        <v>295</v>
      </c>
      <c r="B115" s="9" t="s">
        <v>296</v>
      </c>
      <c r="C115" s="16">
        <f t="shared" si="4"/>
        <v>0</v>
      </c>
      <c r="D115" s="16">
        <f>IFERROR(TRIM(LEFT(발주발송관리!T115,FIND(" ",발주발송관리!T115)-1)),0)</f>
        <v>0</v>
      </c>
      <c r="E115" s="16">
        <f>IFERROR(MID(발주발송관리!T115,FIND(" ",발주발송관리!T115)+1,LEN(발주발송관리!T115)-FIND(" ",발주발송관리!T115)+1),0)</f>
        <v>0</v>
      </c>
      <c r="F115" s="16">
        <f>발주발송관리!W115</f>
        <v>0</v>
      </c>
      <c r="G115" s="11">
        <f>발주발송관리!Y115</f>
        <v>0</v>
      </c>
      <c r="H115" s="17">
        <f>발주발송관리!Z115/1.6</f>
        <v>0</v>
      </c>
      <c r="I115" s="10"/>
      <c r="J115" s="10"/>
      <c r="K115" s="11"/>
      <c r="L115" s="11"/>
      <c r="M115" s="16">
        <f>IF(발주발송관리!M115=R115,0,발주발송관리!M115&amp;T115&amp;S115&amp;U115)</f>
        <v>0</v>
      </c>
      <c r="N115" s="16">
        <f>발주발송관리!AZ115</f>
        <v>0</v>
      </c>
      <c r="O115" s="16">
        <f>발주발송관리!AW115</f>
        <v>0</v>
      </c>
      <c r="P115" s="18"/>
      <c r="Q115" s="18">
        <f>발주발송관리!BB115</f>
        <v>0</v>
      </c>
      <c r="S115" s="20" t="str">
        <f t="shared" si="3"/>
        <v/>
      </c>
      <c r="T115" s="20" t="s">
        <v>275</v>
      </c>
      <c r="U115" s="20" t="s">
        <v>285</v>
      </c>
      <c r="V115" s="25" t="s">
        <v>173</v>
      </c>
      <c r="W115" s="25" t="s">
        <v>173</v>
      </c>
    </row>
    <row r="116" spans="1:23" ht="13.5">
      <c r="A116" s="9" t="s">
        <v>295</v>
      </c>
      <c r="B116" s="9" t="s">
        <v>296</v>
      </c>
      <c r="C116" s="16">
        <f t="shared" si="4"/>
        <v>0</v>
      </c>
      <c r="D116" s="16">
        <f>IFERROR(TRIM(LEFT(발주발송관리!T116,FIND(" ",발주발송관리!T116)-1)),0)</f>
        <v>0</v>
      </c>
      <c r="E116" s="16">
        <f>IFERROR(MID(발주발송관리!T116,FIND(" ",발주발송관리!T116)+1,LEN(발주발송관리!T116)-FIND(" ",발주발송관리!T116)+1),0)</f>
        <v>0</v>
      </c>
      <c r="F116" s="16">
        <f>발주발송관리!W116</f>
        <v>0</v>
      </c>
      <c r="G116" s="11">
        <f>발주발송관리!Y116</f>
        <v>0</v>
      </c>
      <c r="H116" s="17">
        <f>발주발송관리!Z116/1.6</f>
        <v>0</v>
      </c>
      <c r="I116" s="10"/>
      <c r="J116" s="10"/>
      <c r="K116" s="11"/>
      <c r="L116" s="11"/>
      <c r="M116" s="16">
        <f>IF(발주발송관리!M116=R116,0,발주발송관리!M116&amp;T116&amp;S116&amp;U116)</f>
        <v>0</v>
      </c>
      <c r="N116" s="16">
        <f>발주발송관리!AZ116</f>
        <v>0</v>
      </c>
      <c r="O116" s="16">
        <f>발주발송관리!AW116</f>
        <v>0</v>
      </c>
      <c r="P116" s="18"/>
      <c r="Q116" s="18">
        <f>발주발송관리!BB116</f>
        <v>0</v>
      </c>
      <c r="S116" s="20" t="str">
        <f t="shared" si="3"/>
        <v/>
      </c>
      <c r="T116" s="20" t="s">
        <v>275</v>
      </c>
      <c r="U116" s="20" t="s">
        <v>285</v>
      </c>
      <c r="V116" s="25" t="s">
        <v>174</v>
      </c>
      <c r="W116" s="25" t="s">
        <v>174</v>
      </c>
    </row>
    <row r="117" spans="1:23" ht="13.5">
      <c r="A117" s="9" t="s">
        <v>295</v>
      </c>
      <c r="B117" s="9" t="s">
        <v>296</v>
      </c>
      <c r="C117" s="16">
        <f t="shared" si="4"/>
        <v>0</v>
      </c>
      <c r="D117" s="16">
        <f>IFERROR(TRIM(LEFT(발주발송관리!T117,FIND(" ",발주발송관리!T117)-1)),0)</f>
        <v>0</v>
      </c>
      <c r="E117" s="16">
        <f>IFERROR(MID(발주발송관리!T117,FIND(" ",발주발송관리!T117)+1,LEN(발주발송관리!T117)-FIND(" ",발주발송관리!T117)+1),0)</f>
        <v>0</v>
      </c>
      <c r="F117" s="16">
        <f>발주발송관리!W117</f>
        <v>0</v>
      </c>
      <c r="G117" s="11">
        <f>발주발송관리!Y117</f>
        <v>0</v>
      </c>
      <c r="H117" s="17">
        <f>발주발송관리!Z117/1.6</f>
        <v>0</v>
      </c>
      <c r="I117" s="10"/>
      <c r="J117" s="10"/>
      <c r="K117" s="11"/>
      <c r="L117" s="11"/>
      <c r="M117" s="16">
        <f>IF(발주발송관리!M117=R117,0,발주발송관리!M117&amp;T117&amp;S117&amp;U117)</f>
        <v>0</v>
      </c>
      <c r="N117" s="16">
        <f>발주발송관리!AZ117</f>
        <v>0</v>
      </c>
      <c r="O117" s="16">
        <f>발주발송관리!AW117</f>
        <v>0</v>
      </c>
      <c r="P117" s="18"/>
      <c r="Q117" s="18">
        <f>발주발송관리!BB117</f>
        <v>0</v>
      </c>
      <c r="S117" s="20" t="str">
        <f t="shared" si="3"/>
        <v/>
      </c>
      <c r="T117" s="20" t="s">
        <v>275</v>
      </c>
      <c r="U117" s="20" t="s">
        <v>285</v>
      </c>
      <c r="V117" s="25" t="s">
        <v>175</v>
      </c>
      <c r="W117" s="25" t="s">
        <v>175</v>
      </c>
    </row>
    <row r="118" spans="1:23" ht="13.5">
      <c r="A118" s="9" t="s">
        <v>295</v>
      </c>
      <c r="B118" s="9" t="s">
        <v>296</v>
      </c>
      <c r="C118" s="16">
        <f t="shared" si="4"/>
        <v>0</v>
      </c>
      <c r="D118" s="16">
        <f>IFERROR(TRIM(LEFT(발주발송관리!T118,FIND(" ",발주발송관리!T118)-1)),0)</f>
        <v>0</v>
      </c>
      <c r="E118" s="16">
        <f>IFERROR(MID(발주발송관리!T118,FIND(" ",발주발송관리!T118)+1,LEN(발주발송관리!T118)-FIND(" ",발주발송관리!T118)+1),0)</f>
        <v>0</v>
      </c>
      <c r="F118" s="16">
        <f>발주발송관리!W118</f>
        <v>0</v>
      </c>
      <c r="G118" s="11">
        <f>발주발송관리!Y118</f>
        <v>0</v>
      </c>
      <c r="H118" s="17">
        <f>발주발송관리!Z118/1.6</f>
        <v>0</v>
      </c>
      <c r="I118" s="10"/>
      <c r="J118" s="10"/>
      <c r="K118" s="11"/>
      <c r="L118" s="11"/>
      <c r="M118" s="16">
        <f>IF(발주발송관리!M118=R118,0,발주발송관리!M118&amp;T118&amp;S118&amp;U118)</f>
        <v>0</v>
      </c>
      <c r="N118" s="16">
        <f>발주발송관리!AZ118</f>
        <v>0</v>
      </c>
      <c r="O118" s="16">
        <f>발주발송관리!AW118</f>
        <v>0</v>
      </c>
      <c r="P118" s="18"/>
      <c r="Q118" s="18">
        <f>발주발송관리!BB118</f>
        <v>0</v>
      </c>
      <c r="S118" s="20" t="str">
        <f t="shared" si="3"/>
        <v/>
      </c>
      <c r="T118" s="20" t="s">
        <v>275</v>
      </c>
      <c r="U118" s="20" t="s">
        <v>285</v>
      </c>
      <c r="V118" s="25" t="s">
        <v>176</v>
      </c>
      <c r="W118" s="25" t="s">
        <v>176</v>
      </c>
    </row>
    <row r="119" spans="1:23" ht="13.5">
      <c r="A119" s="9" t="s">
        <v>295</v>
      </c>
      <c r="B119" s="9" t="s">
        <v>296</v>
      </c>
      <c r="C119" s="16">
        <f t="shared" si="4"/>
        <v>0</v>
      </c>
      <c r="D119" s="16">
        <f>IFERROR(TRIM(LEFT(발주발송관리!T119,FIND(" ",발주발송관리!T119)-1)),0)</f>
        <v>0</v>
      </c>
      <c r="E119" s="16">
        <f>IFERROR(MID(발주발송관리!T119,FIND(" ",발주발송관리!T119)+1,LEN(발주발송관리!T119)-FIND(" ",발주발송관리!T119)+1),0)</f>
        <v>0</v>
      </c>
      <c r="F119" s="16">
        <f>발주발송관리!W119</f>
        <v>0</v>
      </c>
      <c r="G119" s="11">
        <f>발주발송관리!Y119</f>
        <v>0</v>
      </c>
      <c r="H119" s="17">
        <f>발주발송관리!Z119/1.6</f>
        <v>0</v>
      </c>
      <c r="I119" s="10"/>
      <c r="J119" s="10"/>
      <c r="K119" s="11"/>
      <c r="L119" s="11"/>
      <c r="M119" s="16">
        <f>IF(발주발송관리!M119=R119,0,발주발송관리!M119&amp;T119&amp;S119&amp;U119)</f>
        <v>0</v>
      </c>
      <c r="N119" s="16">
        <f>발주발송관리!AZ119</f>
        <v>0</v>
      </c>
      <c r="O119" s="16">
        <f>발주발송관리!AW119</f>
        <v>0</v>
      </c>
      <c r="P119" s="18"/>
      <c r="Q119" s="18">
        <f>발주발송관리!BB119</f>
        <v>0</v>
      </c>
      <c r="S119" s="20" t="str">
        <f t="shared" si="3"/>
        <v/>
      </c>
      <c r="T119" s="20" t="s">
        <v>275</v>
      </c>
      <c r="U119" s="20" t="s">
        <v>285</v>
      </c>
      <c r="V119" s="25" t="s">
        <v>177</v>
      </c>
      <c r="W119" s="25" t="s">
        <v>177</v>
      </c>
    </row>
    <row r="120" spans="1:23" ht="13.5">
      <c r="A120" s="9" t="s">
        <v>295</v>
      </c>
      <c r="B120" s="9" t="s">
        <v>296</v>
      </c>
      <c r="C120" s="16">
        <f t="shared" si="4"/>
        <v>0</v>
      </c>
      <c r="D120" s="16">
        <f>IFERROR(TRIM(LEFT(발주발송관리!T120,FIND(" ",발주발송관리!T120)-1)),0)</f>
        <v>0</v>
      </c>
      <c r="E120" s="16">
        <f>IFERROR(MID(발주발송관리!T120,FIND(" ",발주발송관리!T120)+1,LEN(발주발송관리!T120)-FIND(" ",발주발송관리!T120)+1),0)</f>
        <v>0</v>
      </c>
      <c r="F120" s="16">
        <f>발주발송관리!W120</f>
        <v>0</v>
      </c>
      <c r="G120" s="11">
        <f>발주발송관리!Y120</f>
        <v>0</v>
      </c>
      <c r="H120" s="17">
        <f>발주발송관리!Z120/1.6</f>
        <v>0</v>
      </c>
      <c r="I120" s="10"/>
      <c r="J120" s="10"/>
      <c r="K120" s="11"/>
      <c r="L120" s="11"/>
      <c r="M120" s="16">
        <f>IF(발주발송관리!M120=R120,0,발주발송관리!M120&amp;T120&amp;S120&amp;U120)</f>
        <v>0</v>
      </c>
      <c r="N120" s="16">
        <f>발주발송관리!AZ120</f>
        <v>0</v>
      </c>
      <c r="O120" s="16">
        <f>발주발송관리!AW120</f>
        <v>0</v>
      </c>
      <c r="P120" s="18"/>
      <c r="Q120" s="18">
        <f>발주발송관리!BB120</f>
        <v>0</v>
      </c>
      <c r="S120" s="20" t="str">
        <f t="shared" si="3"/>
        <v/>
      </c>
      <c r="T120" s="20" t="s">
        <v>275</v>
      </c>
      <c r="U120" s="20" t="s">
        <v>285</v>
      </c>
      <c r="V120" s="25" t="s">
        <v>178</v>
      </c>
      <c r="W120" s="25" t="s">
        <v>178</v>
      </c>
    </row>
    <row r="121" spans="1:23" ht="13.5">
      <c r="A121" s="9" t="s">
        <v>295</v>
      </c>
      <c r="B121" s="9" t="s">
        <v>296</v>
      </c>
      <c r="C121" s="16">
        <f t="shared" si="4"/>
        <v>0</v>
      </c>
      <c r="D121" s="16">
        <f>IFERROR(TRIM(LEFT(발주발송관리!T121,FIND(" ",발주발송관리!T121)-1)),0)</f>
        <v>0</v>
      </c>
      <c r="E121" s="16">
        <f>IFERROR(MID(발주발송관리!T121,FIND(" ",발주발송관리!T121)+1,LEN(발주발송관리!T121)-FIND(" ",발주발송관리!T121)+1),0)</f>
        <v>0</v>
      </c>
      <c r="F121" s="16">
        <f>발주발송관리!W121</f>
        <v>0</v>
      </c>
      <c r="G121" s="11">
        <f>발주발송관리!Y121</f>
        <v>0</v>
      </c>
      <c r="H121" s="17">
        <f>발주발송관리!Z121/1.6</f>
        <v>0</v>
      </c>
      <c r="I121" s="10"/>
      <c r="J121" s="10"/>
      <c r="K121" s="11"/>
      <c r="L121" s="11"/>
      <c r="M121" s="16">
        <f>IF(발주발송관리!M121=R121,0,발주발송관리!M121&amp;T121&amp;S121&amp;U121)</f>
        <v>0</v>
      </c>
      <c r="N121" s="16">
        <f>발주발송관리!AZ121</f>
        <v>0</v>
      </c>
      <c r="O121" s="16">
        <f>발주발송관리!AW121</f>
        <v>0</v>
      </c>
      <c r="P121" s="18"/>
      <c r="Q121" s="18">
        <f>발주발송관리!BB121</f>
        <v>0</v>
      </c>
      <c r="S121" s="20" t="str">
        <f t="shared" si="3"/>
        <v/>
      </c>
      <c r="T121" s="20" t="s">
        <v>275</v>
      </c>
      <c r="U121" s="20" t="s">
        <v>285</v>
      </c>
      <c r="V121" s="25" t="s">
        <v>179</v>
      </c>
      <c r="W121" s="25" t="s">
        <v>179</v>
      </c>
    </row>
    <row r="122" spans="1:23" ht="13.5">
      <c r="A122" s="9" t="s">
        <v>295</v>
      </c>
      <c r="B122" s="9" t="s">
        <v>296</v>
      </c>
      <c r="C122" s="16">
        <f t="shared" si="4"/>
        <v>0</v>
      </c>
      <c r="D122" s="16">
        <f>IFERROR(TRIM(LEFT(발주발송관리!T122,FIND(" ",발주발송관리!T122)-1)),0)</f>
        <v>0</v>
      </c>
      <c r="E122" s="16">
        <f>IFERROR(MID(발주발송관리!T122,FIND(" ",발주발송관리!T122)+1,LEN(발주발송관리!T122)-FIND(" ",발주발송관리!T122)+1),0)</f>
        <v>0</v>
      </c>
      <c r="F122" s="16">
        <f>발주발송관리!W122</f>
        <v>0</v>
      </c>
      <c r="G122" s="11">
        <f>발주발송관리!Y122</f>
        <v>0</v>
      </c>
      <c r="H122" s="17">
        <f>발주발송관리!Z122/1.6</f>
        <v>0</v>
      </c>
      <c r="I122" s="10"/>
      <c r="J122" s="10"/>
      <c r="K122" s="11"/>
      <c r="L122" s="11"/>
      <c r="M122" s="16">
        <f>IF(발주발송관리!M122=R122,0,발주발송관리!M122&amp;T122&amp;S122&amp;U122)</f>
        <v>0</v>
      </c>
      <c r="N122" s="16">
        <f>발주발송관리!AZ122</f>
        <v>0</v>
      </c>
      <c r="O122" s="16">
        <f>발주발송관리!AW122</f>
        <v>0</v>
      </c>
      <c r="P122" s="18"/>
      <c r="Q122" s="18">
        <f>발주발송관리!BB122</f>
        <v>0</v>
      </c>
      <c r="S122" s="20" t="str">
        <f t="shared" si="3"/>
        <v/>
      </c>
      <c r="T122" s="20" t="s">
        <v>275</v>
      </c>
      <c r="U122" s="20" t="s">
        <v>285</v>
      </c>
      <c r="V122" s="25" t="s">
        <v>180</v>
      </c>
      <c r="W122" s="25" t="s">
        <v>180</v>
      </c>
    </row>
    <row r="123" spans="1:23" ht="13.5">
      <c r="A123" s="9" t="s">
        <v>295</v>
      </c>
      <c r="B123" s="9" t="s">
        <v>296</v>
      </c>
      <c r="C123" s="16">
        <f t="shared" si="4"/>
        <v>0</v>
      </c>
      <c r="D123" s="16">
        <f>IFERROR(TRIM(LEFT(발주발송관리!T123,FIND(" ",발주발송관리!T123)-1)),0)</f>
        <v>0</v>
      </c>
      <c r="E123" s="16">
        <f>IFERROR(MID(발주발송관리!T123,FIND(" ",발주발송관리!T123)+1,LEN(발주발송관리!T123)-FIND(" ",발주발송관리!T123)+1),0)</f>
        <v>0</v>
      </c>
      <c r="F123" s="16">
        <f>발주발송관리!W123</f>
        <v>0</v>
      </c>
      <c r="G123" s="11">
        <f>발주발송관리!Y123</f>
        <v>0</v>
      </c>
      <c r="H123" s="17">
        <f>발주발송관리!Z123/1.6</f>
        <v>0</v>
      </c>
      <c r="I123" s="10"/>
      <c r="J123" s="10"/>
      <c r="K123" s="11"/>
      <c r="L123" s="11"/>
      <c r="M123" s="16">
        <f>IF(발주발송관리!M123=R123,0,발주발송관리!M123&amp;T123&amp;S123&amp;U123)</f>
        <v>0</v>
      </c>
      <c r="N123" s="16">
        <f>발주발송관리!AZ123</f>
        <v>0</v>
      </c>
      <c r="O123" s="16">
        <f>발주발송관리!AW123</f>
        <v>0</v>
      </c>
      <c r="P123" s="18"/>
      <c r="Q123" s="18">
        <f>발주발송관리!BB123</f>
        <v>0</v>
      </c>
      <c r="S123" s="20" t="str">
        <f t="shared" si="3"/>
        <v/>
      </c>
      <c r="T123" s="20" t="s">
        <v>275</v>
      </c>
      <c r="U123" s="20" t="s">
        <v>285</v>
      </c>
      <c r="V123" s="25" t="s">
        <v>181</v>
      </c>
      <c r="W123" s="25" t="s">
        <v>181</v>
      </c>
    </row>
    <row r="124" spans="1:23" ht="13.5">
      <c r="A124" s="9" t="s">
        <v>295</v>
      </c>
      <c r="B124" s="9" t="s">
        <v>296</v>
      </c>
      <c r="C124" s="16">
        <f t="shared" si="4"/>
        <v>0</v>
      </c>
      <c r="D124" s="16">
        <f>IFERROR(TRIM(LEFT(발주발송관리!T124,FIND(" ",발주발송관리!T124)-1)),0)</f>
        <v>0</v>
      </c>
      <c r="E124" s="16">
        <f>IFERROR(MID(발주발송관리!T124,FIND(" ",발주발송관리!T124)+1,LEN(발주발송관리!T124)-FIND(" ",발주발송관리!T124)+1),0)</f>
        <v>0</v>
      </c>
      <c r="F124" s="16">
        <f>발주발송관리!W124</f>
        <v>0</v>
      </c>
      <c r="G124" s="11">
        <f>발주발송관리!Y124</f>
        <v>0</v>
      </c>
      <c r="H124" s="17">
        <f>발주발송관리!Z124/1.6</f>
        <v>0</v>
      </c>
      <c r="I124" s="10"/>
      <c r="J124" s="10"/>
      <c r="K124" s="11"/>
      <c r="L124" s="11"/>
      <c r="M124" s="16">
        <f>IF(발주발송관리!M124=R124,0,발주발송관리!M124&amp;T124&amp;S124&amp;U124)</f>
        <v>0</v>
      </c>
      <c r="N124" s="16">
        <f>발주발송관리!AZ124</f>
        <v>0</v>
      </c>
      <c r="O124" s="16">
        <f>발주발송관리!AW124</f>
        <v>0</v>
      </c>
      <c r="P124" s="18"/>
      <c r="Q124" s="18">
        <f>발주발송관리!BB124</f>
        <v>0</v>
      </c>
      <c r="S124" s="20" t="str">
        <f t="shared" si="3"/>
        <v/>
      </c>
      <c r="T124" s="20" t="s">
        <v>275</v>
      </c>
      <c r="U124" s="20" t="s">
        <v>285</v>
      </c>
      <c r="V124" s="25" t="s">
        <v>182</v>
      </c>
      <c r="W124" s="25" t="s">
        <v>182</v>
      </c>
    </row>
    <row r="125" spans="1:23" ht="13.5">
      <c r="A125" s="9" t="s">
        <v>295</v>
      </c>
      <c r="B125" s="9" t="s">
        <v>296</v>
      </c>
      <c r="C125" s="16">
        <f t="shared" si="4"/>
        <v>0</v>
      </c>
      <c r="D125" s="16">
        <f>IFERROR(TRIM(LEFT(발주발송관리!T125,FIND(" ",발주발송관리!T125)-1)),0)</f>
        <v>0</v>
      </c>
      <c r="E125" s="16">
        <f>IFERROR(MID(발주발송관리!T125,FIND(" ",발주발송관리!T125)+1,LEN(발주발송관리!T125)-FIND(" ",발주발송관리!T125)+1),0)</f>
        <v>0</v>
      </c>
      <c r="F125" s="16">
        <f>발주발송관리!W125</f>
        <v>0</v>
      </c>
      <c r="G125" s="11">
        <f>발주발송관리!Y125</f>
        <v>0</v>
      </c>
      <c r="H125" s="17">
        <f>발주발송관리!Z125/1.6</f>
        <v>0</v>
      </c>
      <c r="I125" s="10"/>
      <c r="J125" s="10"/>
      <c r="K125" s="11"/>
      <c r="L125" s="11"/>
      <c r="M125" s="16">
        <f>IF(발주발송관리!M125=R125,0,발주발송관리!M125&amp;T125&amp;S125&amp;U125)</f>
        <v>0</v>
      </c>
      <c r="N125" s="16">
        <f>발주발송관리!AZ125</f>
        <v>0</v>
      </c>
      <c r="O125" s="16">
        <f>발주발송관리!AW125</f>
        <v>0</v>
      </c>
      <c r="P125" s="18"/>
      <c r="Q125" s="18">
        <f>발주발송관리!BB125</f>
        <v>0</v>
      </c>
      <c r="S125" s="20" t="str">
        <f t="shared" si="3"/>
        <v/>
      </c>
      <c r="T125" s="20" t="s">
        <v>275</v>
      </c>
      <c r="U125" s="20" t="s">
        <v>285</v>
      </c>
      <c r="V125" s="25" t="s">
        <v>183</v>
      </c>
      <c r="W125" s="25" t="s">
        <v>183</v>
      </c>
    </row>
    <row r="126" spans="1:23" ht="13.5">
      <c r="A126" s="9" t="s">
        <v>295</v>
      </c>
      <c r="B126" s="9" t="s">
        <v>296</v>
      </c>
      <c r="C126" s="16">
        <f t="shared" si="4"/>
        <v>0</v>
      </c>
      <c r="D126" s="16">
        <f>IFERROR(TRIM(LEFT(발주발송관리!T126,FIND(" ",발주발송관리!T126)-1)),0)</f>
        <v>0</v>
      </c>
      <c r="E126" s="16">
        <f>IFERROR(MID(발주발송관리!T126,FIND(" ",발주발송관리!T126)+1,LEN(발주발송관리!T126)-FIND(" ",발주발송관리!T126)+1),0)</f>
        <v>0</v>
      </c>
      <c r="F126" s="16">
        <f>발주발송관리!W126</f>
        <v>0</v>
      </c>
      <c r="G126" s="11">
        <f>발주발송관리!Y126</f>
        <v>0</v>
      </c>
      <c r="H126" s="17">
        <f>발주발송관리!Z126/1.6</f>
        <v>0</v>
      </c>
      <c r="I126" s="10"/>
      <c r="J126" s="10"/>
      <c r="K126" s="11"/>
      <c r="L126" s="11"/>
      <c r="M126" s="16">
        <f>IF(발주발송관리!M126=R126,0,발주발송관리!M126&amp;T126&amp;S126&amp;U126)</f>
        <v>0</v>
      </c>
      <c r="N126" s="16">
        <f>발주발송관리!AZ126</f>
        <v>0</v>
      </c>
      <c r="O126" s="16">
        <f>발주발송관리!AW126</f>
        <v>0</v>
      </c>
      <c r="P126" s="18"/>
      <c r="Q126" s="18">
        <f>발주발송관리!BB126</f>
        <v>0</v>
      </c>
      <c r="S126" s="20" t="str">
        <f t="shared" si="3"/>
        <v/>
      </c>
      <c r="T126" s="20" t="s">
        <v>275</v>
      </c>
      <c r="U126" s="20" t="s">
        <v>285</v>
      </c>
      <c r="V126" s="25" t="s">
        <v>184</v>
      </c>
      <c r="W126" s="25" t="s">
        <v>184</v>
      </c>
    </row>
    <row r="127" spans="1:23" ht="13.5">
      <c r="A127" s="9" t="s">
        <v>295</v>
      </c>
      <c r="B127" s="9" t="s">
        <v>296</v>
      </c>
      <c r="C127" s="16">
        <f t="shared" si="4"/>
        <v>0</v>
      </c>
      <c r="D127" s="16">
        <f>IFERROR(TRIM(LEFT(발주발송관리!T127,FIND(" ",발주발송관리!T127)-1)),0)</f>
        <v>0</v>
      </c>
      <c r="E127" s="16">
        <f>IFERROR(MID(발주발송관리!T127,FIND(" ",발주발송관리!T127)+1,LEN(발주발송관리!T127)-FIND(" ",발주발송관리!T127)+1),0)</f>
        <v>0</v>
      </c>
      <c r="F127" s="16">
        <f>발주발송관리!W127</f>
        <v>0</v>
      </c>
      <c r="G127" s="11">
        <f>발주발송관리!Y127</f>
        <v>0</v>
      </c>
      <c r="H127" s="17">
        <f>발주발송관리!Z127/1.6</f>
        <v>0</v>
      </c>
      <c r="I127" s="10"/>
      <c r="J127" s="10"/>
      <c r="K127" s="11"/>
      <c r="L127" s="11"/>
      <c r="M127" s="16">
        <f>IF(발주발송관리!M127=R127,0,발주발송관리!M127&amp;T127&amp;S127&amp;U127)</f>
        <v>0</v>
      </c>
      <c r="N127" s="16">
        <f>발주발송관리!AZ127</f>
        <v>0</v>
      </c>
      <c r="O127" s="16">
        <f>발주발송관리!AW127</f>
        <v>0</v>
      </c>
      <c r="P127" s="18"/>
      <c r="Q127" s="18">
        <f>발주발송관리!BB127</f>
        <v>0</v>
      </c>
      <c r="S127" s="20" t="str">
        <f t="shared" si="3"/>
        <v/>
      </c>
      <c r="T127" s="20" t="s">
        <v>275</v>
      </c>
      <c r="U127" s="20" t="s">
        <v>285</v>
      </c>
      <c r="V127" s="25" t="s">
        <v>185</v>
      </c>
      <c r="W127" s="25" t="s">
        <v>185</v>
      </c>
    </row>
    <row r="128" spans="1:23" ht="13.5">
      <c r="A128" s="9" t="s">
        <v>295</v>
      </c>
      <c r="B128" s="9" t="s">
        <v>296</v>
      </c>
      <c r="C128" s="16">
        <f t="shared" si="4"/>
        <v>0</v>
      </c>
      <c r="D128" s="16">
        <f>IFERROR(TRIM(LEFT(발주발송관리!T128,FIND(" ",발주발송관리!T128)-1)),0)</f>
        <v>0</v>
      </c>
      <c r="E128" s="16">
        <f>IFERROR(MID(발주발송관리!T128,FIND(" ",발주발송관리!T128)+1,LEN(발주발송관리!T128)-FIND(" ",발주발송관리!T128)+1),0)</f>
        <v>0</v>
      </c>
      <c r="F128" s="16">
        <f>발주발송관리!W128</f>
        <v>0</v>
      </c>
      <c r="G128" s="11">
        <f>발주발송관리!Y128</f>
        <v>0</v>
      </c>
      <c r="H128" s="17">
        <f>발주발송관리!Z128/1.6</f>
        <v>0</v>
      </c>
      <c r="I128" s="10"/>
      <c r="J128" s="10"/>
      <c r="K128" s="11"/>
      <c r="L128" s="11"/>
      <c r="M128" s="16">
        <f>IF(발주발송관리!M128=R128,0,발주발송관리!M128&amp;T128&amp;S128&amp;U128)</f>
        <v>0</v>
      </c>
      <c r="N128" s="16">
        <f>발주발송관리!AZ128</f>
        <v>0</v>
      </c>
      <c r="O128" s="16">
        <f>발주발송관리!AW128</f>
        <v>0</v>
      </c>
      <c r="P128" s="18"/>
      <c r="Q128" s="18">
        <f>발주발송관리!BB128</f>
        <v>0</v>
      </c>
      <c r="S128" s="20" t="str">
        <f t="shared" si="3"/>
        <v/>
      </c>
      <c r="T128" s="20" t="s">
        <v>275</v>
      </c>
      <c r="U128" s="20" t="s">
        <v>285</v>
      </c>
      <c r="V128" s="25" t="s">
        <v>186</v>
      </c>
      <c r="W128" s="25" t="s">
        <v>186</v>
      </c>
    </row>
    <row r="129" spans="1:23" ht="13.5">
      <c r="A129" s="9" t="s">
        <v>295</v>
      </c>
      <c r="B129" s="9" t="s">
        <v>296</v>
      </c>
      <c r="C129" s="16">
        <f t="shared" si="4"/>
        <v>0</v>
      </c>
      <c r="D129" s="16">
        <f>IFERROR(TRIM(LEFT(발주발송관리!T129,FIND(" ",발주발송관리!T129)-1)),0)</f>
        <v>0</v>
      </c>
      <c r="E129" s="16">
        <f>IFERROR(MID(발주발송관리!T129,FIND(" ",발주발송관리!T129)+1,LEN(발주발송관리!T129)-FIND(" ",발주발송관리!T129)+1),0)</f>
        <v>0</v>
      </c>
      <c r="F129" s="16">
        <f>발주발송관리!W129</f>
        <v>0</v>
      </c>
      <c r="G129" s="11">
        <f>발주발송관리!Y129</f>
        <v>0</v>
      </c>
      <c r="H129" s="17">
        <f>발주발송관리!Z129/1.6</f>
        <v>0</v>
      </c>
      <c r="I129" s="10"/>
      <c r="J129" s="10"/>
      <c r="K129" s="11"/>
      <c r="L129" s="11"/>
      <c r="M129" s="16">
        <f>IF(발주발송관리!M129=R129,0,발주발송관리!M129&amp;T129&amp;S129&amp;U129)</f>
        <v>0</v>
      </c>
      <c r="N129" s="16">
        <f>발주발송관리!AZ129</f>
        <v>0</v>
      </c>
      <c r="O129" s="16">
        <f>발주발송관리!AW129</f>
        <v>0</v>
      </c>
      <c r="P129" s="18"/>
      <c r="Q129" s="18">
        <f>발주발송관리!BB129</f>
        <v>0</v>
      </c>
      <c r="S129" s="20" t="str">
        <f t="shared" si="3"/>
        <v/>
      </c>
      <c r="T129" s="20" t="s">
        <v>275</v>
      </c>
      <c r="U129" s="20" t="s">
        <v>285</v>
      </c>
      <c r="V129" s="25" t="s">
        <v>187</v>
      </c>
      <c r="W129" s="25" t="s">
        <v>187</v>
      </c>
    </row>
    <row r="130" spans="1:23" ht="13.5">
      <c r="A130" s="9" t="s">
        <v>295</v>
      </c>
      <c r="B130" s="9" t="s">
        <v>296</v>
      </c>
      <c r="C130" s="16">
        <f t="shared" si="4"/>
        <v>0</v>
      </c>
      <c r="D130" s="16">
        <f>IFERROR(TRIM(LEFT(발주발송관리!T130,FIND(" ",발주발송관리!T130)-1)),0)</f>
        <v>0</v>
      </c>
      <c r="E130" s="16">
        <f>IFERROR(MID(발주발송관리!T130,FIND(" ",발주발송관리!T130)+1,LEN(발주발송관리!T130)-FIND(" ",발주발송관리!T130)+1),0)</f>
        <v>0</v>
      </c>
      <c r="F130" s="16">
        <f>발주발송관리!W130</f>
        <v>0</v>
      </c>
      <c r="G130" s="11">
        <f>발주발송관리!Y130</f>
        <v>0</v>
      </c>
      <c r="H130" s="17">
        <f>발주발송관리!Z130/1.6</f>
        <v>0</v>
      </c>
      <c r="I130" s="10"/>
      <c r="J130" s="10"/>
      <c r="K130" s="11"/>
      <c r="L130" s="11"/>
      <c r="M130" s="16">
        <f>IF(발주발송관리!M130=R130,0,발주발송관리!M130&amp;T130&amp;S130&amp;U130)</f>
        <v>0</v>
      </c>
      <c r="N130" s="16">
        <f>발주발송관리!AZ130</f>
        <v>0</v>
      </c>
      <c r="O130" s="16">
        <f>발주발송관리!AW130</f>
        <v>0</v>
      </c>
      <c r="P130" s="18"/>
      <c r="Q130" s="18">
        <f>발주발송관리!BB130</f>
        <v>0</v>
      </c>
      <c r="S130" s="20" t="str">
        <f t="shared" si="3"/>
        <v/>
      </c>
      <c r="T130" s="20" t="s">
        <v>275</v>
      </c>
      <c r="U130" s="20" t="s">
        <v>285</v>
      </c>
      <c r="V130" s="25" t="s">
        <v>188</v>
      </c>
      <c r="W130" s="25" t="s">
        <v>188</v>
      </c>
    </row>
    <row r="131" spans="1:23" ht="13.5">
      <c r="A131" s="9" t="s">
        <v>295</v>
      </c>
      <c r="B131" s="9" t="s">
        <v>296</v>
      </c>
      <c r="C131" s="16">
        <f t="shared" si="4"/>
        <v>0</v>
      </c>
      <c r="D131" s="16">
        <f>IFERROR(TRIM(LEFT(발주발송관리!T131,FIND(" ",발주발송관리!T131)-1)),0)</f>
        <v>0</v>
      </c>
      <c r="E131" s="16">
        <f>IFERROR(MID(발주발송관리!T131,FIND(" ",발주발송관리!T131)+1,LEN(발주발송관리!T131)-FIND(" ",발주발송관리!T131)+1),0)</f>
        <v>0</v>
      </c>
      <c r="F131" s="16">
        <f>발주발송관리!W131</f>
        <v>0</v>
      </c>
      <c r="G131" s="11">
        <f>발주발송관리!Y131</f>
        <v>0</v>
      </c>
      <c r="H131" s="17">
        <f>발주발송관리!Z131/1.6</f>
        <v>0</v>
      </c>
      <c r="I131" s="10"/>
      <c r="J131" s="10"/>
      <c r="K131" s="11"/>
      <c r="L131" s="11"/>
      <c r="M131" s="16">
        <f>IF(발주발송관리!M131=R131,0,발주발송관리!M131&amp;T131&amp;S131&amp;U131)</f>
        <v>0</v>
      </c>
      <c r="N131" s="16">
        <f>발주발송관리!AZ131</f>
        <v>0</v>
      </c>
      <c r="O131" s="16">
        <f>발주발송관리!AW131</f>
        <v>0</v>
      </c>
      <c r="P131" s="18"/>
      <c r="Q131" s="18">
        <f>발주발송관리!BB131</f>
        <v>0</v>
      </c>
      <c r="S131" s="20" t="str">
        <f t="shared" ref="S131:S194" si="5">IFERROR(LOOKUP(1,0/(FIND($V$2:$V$209,O131)),$W$2:$W$209),"")</f>
        <v/>
      </c>
      <c r="T131" s="20" t="s">
        <v>275</v>
      </c>
      <c r="U131" s="20" t="s">
        <v>285</v>
      </c>
      <c r="V131" s="25" t="s">
        <v>189</v>
      </c>
      <c r="W131" s="25" t="s">
        <v>189</v>
      </c>
    </row>
    <row r="132" spans="1:23" ht="13.5">
      <c r="A132" s="9" t="s">
        <v>295</v>
      </c>
      <c r="B132" s="9" t="s">
        <v>296</v>
      </c>
      <c r="C132" s="16">
        <f t="shared" si="4"/>
        <v>0</v>
      </c>
      <c r="D132" s="16">
        <f>IFERROR(TRIM(LEFT(발주발송관리!T132,FIND(" ",발주발송관리!T132)-1)),0)</f>
        <v>0</v>
      </c>
      <c r="E132" s="16">
        <f>IFERROR(MID(발주발송관리!T132,FIND(" ",발주발송관리!T132)+1,LEN(발주발송관리!T132)-FIND(" ",발주발송관리!T132)+1),0)</f>
        <v>0</v>
      </c>
      <c r="F132" s="16">
        <f>발주발송관리!W132</f>
        <v>0</v>
      </c>
      <c r="G132" s="11">
        <f>발주발송관리!Y132</f>
        <v>0</v>
      </c>
      <c r="H132" s="17">
        <f>발주발송관리!Z132/1.6</f>
        <v>0</v>
      </c>
      <c r="I132" s="10"/>
      <c r="J132" s="10"/>
      <c r="K132" s="11"/>
      <c r="L132" s="11"/>
      <c r="M132" s="16">
        <f>IF(발주발송관리!M132=R132,0,발주발송관리!M132&amp;T132&amp;S132&amp;U132)</f>
        <v>0</v>
      </c>
      <c r="N132" s="16">
        <f>발주발송관리!AZ132</f>
        <v>0</v>
      </c>
      <c r="O132" s="16">
        <f>발주발송관리!AW132</f>
        <v>0</v>
      </c>
      <c r="P132" s="18"/>
      <c r="Q132" s="18">
        <f>발주발송관리!BB132</f>
        <v>0</v>
      </c>
      <c r="S132" s="20" t="str">
        <f t="shared" si="5"/>
        <v/>
      </c>
      <c r="T132" s="20" t="s">
        <v>275</v>
      </c>
      <c r="U132" s="20" t="s">
        <v>285</v>
      </c>
      <c r="V132" s="25" t="s">
        <v>190</v>
      </c>
      <c r="W132" s="25" t="s">
        <v>190</v>
      </c>
    </row>
    <row r="133" spans="1:23" ht="13.5">
      <c r="A133" s="9" t="s">
        <v>295</v>
      </c>
      <c r="B133" s="9" t="s">
        <v>296</v>
      </c>
      <c r="C133" s="16">
        <f t="shared" si="4"/>
        <v>0</v>
      </c>
      <c r="D133" s="16">
        <f>IFERROR(TRIM(LEFT(발주발송관리!T133,FIND(" ",발주발송관리!T133)-1)),0)</f>
        <v>0</v>
      </c>
      <c r="E133" s="16">
        <f>IFERROR(MID(발주발송관리!T133,FIND(" ",발주발송관리!T133)+1,LEN(발주발송관리!T133)-FIND(" ",발주발송관리!T133)+1),0)</f>
        <v>0</v>
      </c>
      <c r="F133" s="16">
        <f>발주발송관리!W133</f>
        <v>0</v>
      </c>
      <c r="G133" s="11">
        <f>발주발송관리!Y133</f>
        <v>0</v>
      </c>
      <c r="H133" s="17">
        <f>발주발송관리!Z133/1.6</f>
        <v>0</v>
      </c>
      <c r="I133" s="10"/>
      <c r="J133" s="10"/>
      <c r="K133" s="11"/>
      <c r="L133" s="11"/>
      <c r="M133" s="16">
        <f>IF(발주발송관리!M133=R133,0,발주발송관리!M133&amp;T133&amp;S133&amp;U133)</f>
        <v>0</v>
      </c>
      <c r="N133" s="16">
        <f>발주발송관리!AZ133</f>
        <v>0</v>
      </c>
      <c r="O133" s="16">
        <f>발주발송관리!AW133</f>
        <v>0</v>
      </c>
      <c r="P133" s="18"/>
      <c r="Q133" s="18">
        <f>발주발송관리!BB133</f>
        <v>0</v>
      </c>
      <c r="S133" s="20" t="str">
        <f t="shared" si="5"/>
        <v/>
      </c>
      <c r="T133" s="20" t="s">
        <v>275</v>
      </c>
      <c r="U133" s="20" t="s">
        <v>285</v>
      </c>
      <c r="V133" s="25" t="s">
        <v>191</v>
      </c>
      <c r="W133" s="25" t="s">
        <v>191</v>
      </c>
    </row>
    <row r="134" spans="1:23" ht="13.5">
      <c r="A134" s="9" t="s">
        <v>295</v>
      </c>
      <c r="B134" s="9" t="s">
        <v>296</v>
      </c>
      <c r="C134" s="16">
        <f t="shared" si="4"/>
        <v>0</v>
      </c>
      <c r="D134" s="16">
        <f>IFERROR(TRIM(LEFT(발주발송관리!T134,FIND(" ",발주발송관리!T134)-1)),0)</f>
        <v>0</v>
      </c>
      <c r="E134" s="16">
        <f>IFERROR(MID(발주발송관리!T134,FIND(" ",발주발송관리!T134)+1,LEN(발주발송관리!T134)-FIND(" ",발주발송관리!T134)+1),0)</f>
        <v>0</v>
      </c>
      <c r="F134" s="16">
        <f>발주발송관리!W134</f>
        <v>0</v>
      </c>
      <c r="G134" s="11">
        <f>발주발송관리!Y134</f>
        <v>0</v>
      </c>
      <c r="H134" s="17">
        <f>발주발송관리!Z134/1.6</f>
        <v>0</v>
      </c>
      <c r="I134" s="10"/>
      <c r="J134" s="10"/>
      <c r="K134" s="11"/>
      <c r="L134" s="11"/>
      <c r="M134" s="16">
        <f>IF(발주발송관리!M134=R134,0,발주발송관리!M134&amp;T134&amp;S134&amp;U134)</f>
        <v>0</v>
      </c>
      <c r="N134" s="16">
        <f>발주발송관리!AZ134</f>
        <v>0</v>
      </c>
      <c r="O134" s="16">
        <f>발주발송관리!AW134</f>
        <v>0</v>
      </c>
      <c r="P134" s="18"/>
      <c r="Q134" s="18">
        <f>발주발송관리!BB134</f>
        <v>0</v>
      </c>
      <c r="S134" s="20" t="str">
        <f t="shared" si="5"/>
        <v/>
      </c>
      <c r="T134" s="20" t="s">
        <v>275</v>
      </c>
      <c r="U134" s="20" t="s">
        <v>285</v>
      </c>
      <c r="V134" s="25" t="s">
        <v>192</v>
      </c>
      <c r="W134" s="25" t="s">
        <v>192</v>
      </c>
    </row>
    <row r="135" spans="1:23" ht="13.5">
      <c r="A135" s="9" t="s">
        <v>295</v>
      </c>
      <c r="B135" s="9" t="s">
        <v>296</v>
      </c>
      <c r="C135" s="16">
        <f t="shared" si="4"/>
        <v>0</v>
      </c>
      <c r="D135" s="16">
        <f>IFERROR(TRIM(LEFT(발주발송관리!T135,FIND(" ",발주발송관리!T135)-1)),0)</f>
        <v>0</v>
      </c>
      <c r="E135" s="16">
        <f>IFERROR(MID(발주발송관리!T135,FIND(" ",발주발송관리!T135)+1,LEN(발주발송관리!T135)-FIND(" ",발주발송관리!T135)+1),0)</f>
        <v>0</v>
      </c>
      <c r="F135" s="16">
        <f>발주발송관리!W135</f>
        <v>0</v>
      </c>
      <c r="G135" s="11">
        <f>발주발송관리!Y135</f>
        <v>0</v>
      </c>
      <c r="H135" s="17">
        <f>발주발송관리!Z135/1.6</f>
        <v>0</v>
      </c>
      <c r="I135" s="10"/>
      <c r="J135" s="10"/>
      <c r="K135" s="11"/>
      <c r="L135" s="11"/>
      <c r="M135" s="16">
        <f>IF(발주발송관리!M135=R135,0,발주발송관리!M135&amp;T135&amp;S135&amp;U135)</f>
        <v>0</v>
      </c>
      <c r="N135" s="16">
        <f>발주발송관리!AZ135</f>
        <v>0</v>
      </c>
      <c r="O135" s="16">
        <f>발주발송관리!AW135</f>
        <v>0</v>
      </c>
      <c r="P135" s="18"/>
      <c r="Q135" s="18">
        <f>발주발송관리!BB135</f>
        <v>0</v>
      </c>
      <c r="S135" s="20" t="str">
        <f t="shared" si="5"/>
        <v/>
      </c>
      <c r="T135" s="20" t="s">
        <v>275</v>
      </c>
      <c r="U135" s="20" t="s">
        <v>285</v>
      </c>
      <c r="V135" s="25" t="s">
        <v>193</v>
      </c>
      <c r="W135" s="25" t="s">
        <v>193</v>
      </c>
    </row>
    <row r="136" spans="1:23" ht="13.5">
      <c r="A136" s="9" t="s">
        <v>295</v>
      </c>
      <c r="B136" s="9" t="s">
        <v>296</v>
      </c>
      <c r="C136" s="16">
        <f t="shared" si="4"/>
        <v>0</v>
      </c>
      <c r="D136" s="16">
        <f>IFERROR(TRIM(LEFT(발주발송관리!T136,FIND(" ",발주발송관리!T136)-1)),0)</f>
        <v>0</v>
      </c>
      <c r="E136" s="16">
        <f>IFERROR(MID(발주발송관리!T136,FIND(" ",발주발송관리!T136)+1,LEN(발주발송관리!T136)-FIND(" ",발주발송관리!T136)+1),0)</f>
        <v>0</v>
      </c>
      <c r="F136" s="16">
        <f>발주발송관리!W136</f>
        <v>0</v>
      </c>
      <c r="G136" s="11">
        <f>발주발송관리!Y136</f>
        <v>0</v>
      </c>
      <c r="H136" s="17">
        <f>발주발송관리!Z136/1.6</f>
        <v>0</v>
      </c>
      <c r="I136" s="10"/>
      <c r="J136" s="10"/>
      <c r="K136" s="11"/>
      <c r="L136" s="11"/>
      <c r="M136" s="16">
        <f>IF(발주발송관리!M136=R136,0,발주발송관리!M136&amp;T136&amp;S136&amp;U136)</f>
        <v>0</v>
      </c>
      <c r="N136" s="16">
        <f>발주발송관리!AZ136</f>
        <v>0</v>
      </c>
      <c r="O136" s="16">
        <f>발주발송관리!AW136</f>
        <v>0</v>
      </c>
      <c r="P136" s="18"/>
      <c r="Q136" s="18">
        <f>발주발송관리!BB136</f>
        <v>0</v>
      </c>
      <c r="S136" s="20" t="str">
        <f t="shared" si="5"/>
        <v/>
      </c>
      <c r="T136" s="20" t="s">
        <v>275</v>
      </c>
      <c r="U136" s="20" t="s">
        <v>285</v>
      </c>
      <c r="V136" s="25" t="s">
        <v>194</v>
      </c>
      <c r="W136" s="25" t="s">
        <v>194</v>
      </c>
    </row>
    <row r="137" spans="1:23" ht="13.5">
      <c r="A137" s="9" t="s">
        <v>295</v>
      </c>
      <c r="B137" s="9" t="s">
        <v>296</v>
      </c>
      <c r="C137" s="16">
        <f t="shared" si="4"/>
        <v>0</v>
      </c>
      <c r="D137" s="16">
        <f>IFERROR(TRIM(LEFT(발주발송관리!T137,FIND(" ",발주발송관리!T137)-1)),0)</f>
        <v>0</v>
      </c>
      <c r="E137" s="16">
        <f>IFERROR(MID(발주발송관리!T137,FIND(" ",발주발송관리!T137)+1,LEN(발주발송관리!T137)-FIND(" ",발주발송관리!T137)+1),0)</f>
        <v>0</v>
      </c>
      <c r="F137" s="16">
        <f>발주발송관리!W137</f>
        <v>0</v>
      </c>
      <c r="G137" s="11">
        <f>발주발송관리!Y137</f>
        <v>0</v>
      </c>
      <c r="H137" s="17">
        <f>발주발송관리!Z137/1.6</f>
        <v>0</v>
      </c>
      <c r="I137" s="10"/>
      <c r="J137" s="10"/>
      <c r="K137" s="11"/>
      <c r="L137" s="11"/>
      <c r="M137" s="16">
        <f>IF(발주발송관리!M137=R137,0,발주발송관리!M137&amp;T137&amp;S137&amp;U137)</f>
        <v>0</v>
      </c>
      <c r="N137" s="16">
        <f>발주발송관리!AZ137</f>
        <v>0</v>
      </c>
      <c r="O137" s="16">
        <f>발주발송관리!AW137</f>
        <v>0</v>
      </c>
      <c r="P137" s="18"/>
      <c r="Q137" s="18">
        <f>발주발송관리!BB137</f>
        <v>0</v>
      </c>
      <c r="S137" s="20" t="str">
        <f t="shared" si="5"/>
        <v/>
      </c>
      <c r="T137" s="20" t="s">
        <v>275</v>
      </c>
      <c r="U137" s="20" t="s">
        <v>285</v>
      </c>
      <c r="V137" s="25" t="s">
        <v>195</v>
      </c>
      <c r="W137" s="25" t="s">
        <v>195</v>
      </c>
    </row>
    <row r="138" spans="1:23" ht="13.5">
      <c r="A138" s="9" t="s">
        <v>295</v>
      </c>
      <c r="B138" s="9" t="s">
        <v>296</v>
      </c>
      <c r="C138" s="16">
        <f t="shared" si="4"/>
        <v>0</v>
      </c>
      <c r="D138" s="16">
        <f>IFERROR(TRIM(LEFT(발주발송관리!T138,FIND(" ",발주발송관리!T138)-1)),0)</f>
        <v>0</v>
      </c>
      <c r="E138" s="16">
        <f>IFERROR(MID(발주발송관리!T138,FIND(" ",발주발송관리!T138)+1,LEN(발주발송관리!T138)-FIND(" ",발주발송관리!T138)+1),0)</f>
        <v>0</v>
      </c>
      <c r="F138" s="16">
        <f>발주발송관리!W138</f>
        <v>0</v>
      </c>
      <c r="G138" s="11">
        <f>발주발송관리!Y138</f>
        <v>0</v>
      </c>
      <c r="H138" s="17">
        <f>발주발송관리!Z138/1.6</f>
        <v>0</v>
      </c>
      <c r="I138" s="10"/>
      <c r="J138" s="10"/>
      <c r="K138" s="11"/>
      <c r="L138" s="11"/>
      <c r="M138" s="16">
        <f>IF(발주발송관리!M138=R138,0,발주발송관리!M138&amp;T138&amp;S138&amp;U138)</f>
        <v>0</v>
      </c>
      <c r="N138" s="16">
        <f>발주발송관리!AZ138</f>
        <v>0</v>
      </c>
      <c r="O138" s="16">
        <f>발주발송관리!AW138</f>
        <v>0</v>
      </c>
      <c r="P138" s="18"/>
      <c r="Q138" s="18">
        <f>발주발송관리!BB138</f>
        <v>0</v>
      </c>
      <c r="S138" s="20" t="str">
        <f t="shared" si="5"/>
        <v/>
      </c>
      <c r="T138" s="20" t="s">
        <v>275</v>
      </c>
      <c r="U138" s="20" t="s">
        <v>285</v>
      </c>
      <c r="V138" s="25" t="s">
        <v>196</v>
      </c>
      <c r="W138" s="25" t="s">
        <v>196</v>
      </c>
    </row>
    <row r="139" spans="1:23" ht="13.5">
      <c r="A139" s="9" t="s">
        <v>295</v>
      </c>
      <c r="B139" s="9" t="s">
        <v>296</v>
      </c>
      <c r="C139" s="16">
        <f t="shared" si="4"/>
        <v>0</v>
      </c>
      <c r="D139" s="16">
        <f>IFERROR(TRIM(LEFT(발주발송관리!T139,FIND(" ",발주발송관리!T139)-1)),0)</f>
        <v>0</v>
      </c>
      <c r="E139" s="16">
        <f>IFERROR(MID(발주발송관리!T139,FIND(" ",발주발송관리!T139)+1,LEN(발주발송관리!T139)-FIND(" ",발주발송관리!T139)+1),0)</f>
        <v>0</v>
      </c>
      <c r="F139" s="16">
        <f>발주발송관리!W139</f>
        <v>0</v>
      </c>
      <c r="G139" s="11">
        <f>발주발송관리!Y139</f>
        <v>0</v>
      </c>
      <c r="H139" s="17">
        <f>발주발송관리!Z139/1.6</f>
        <v>0</v>
      </c>
      <c r="I139" s="10"/>
      <c r="J139" s="10"/>
      <c r="K139" s="11"/>
      <c r="L139" s="11"/>
      <c r="M139" s="16">
        <f>IF(발주발송관리!M139=R139,0,발주발송관리!M139&amp;T139&amp;S139&amp;U139)</f>
        <v>0</v>
      </c>
      <c r="N139" s="16">
        <f>발주발송관리!AZ139</f>
        <v>0</v>
      </c>
      <c r="O139" s="16">
        <f>발주발송관리!AW139</f>
        <v>0</v>
      </c>
      <c r="P139" s="18"/>
      <c r="Q139" s="18">
        <f>발주발송관리!BB139</f>
        <v>0</v>
      </c>
      <c r="S139" s="20" t="str">
        <f t="shared" si="5"/>
        <v/>
      </c>
      <c r="T139" s="20" t="s">
        <v>275</v>
      </c>
      <c r="U139" s="20" t="s">
        <v>285</v>
      </c>
      <c r="V139" s="25" t="s">
        <v>197</v>
      </c>
      <c r="W139" s="25" t="s">
        <v>197</v>
      </c>
    </row>
    <row r="140" spans="1:23" ht="13.5">
      <c r="A140" s="9" t="s">
        <v>295</v>
      </c>
      <c r="B140" s="9" t="s">
        <v>296</v>
      </c>
      <c r="C140" s="16">
        <f t="shared" ref="C140:C147" si="6">M140</f>
        <v>0</v>
      </c>
      <c r="D140" s="16">
        <f>IFERROR(TRIM(LEFT(발주발송관리!T140,FIND(" ",발주발송관리!T140)-1)),0)</f>
        <v>0</v>
      </c>
      <c r="E140" s="16">
        <f>IFERROR(MID(발주발송관리!T140,FIND(" ",발주발송관리!T140)+1,LEN(발주발송관리!T140)-FIND(" ",발주발송관리!T140)+1),0)</f>
        <v>0</v>
      </c>
      <c r="F140" s="16">
        <f>발주발송관리!W140</f>
        <v>0</v>
      </c>
      <c r="G140" s="11">
        <f>발주발송관리!Y140</f>
        <v>0</v>
      </c>
      <c r="H140" s="17">
        <f>발주발송관리!Z140/1.6</f>
        <v>0</v>
      </c>
      <c r="I140" s="10"/>
      <c r="J140" s="10"/>
      <c r="K140" s="11"/>
      <c r="L140" s="11"/>
      <c r="M140" s="16">
        <f>IF(발주발송관리!M140=R140,0,발주발송관리!M140&amp;T140&amp;S140&amp;U140)</f>
        <v>0</v>
      </c>
      <c r="N140" s="16">
        <f>발주발송관리!AZ140</f>
        <v>0</v>
      </c>
      <c r="O140" s="16">
        <f>발주발송관리!AW140</f>
        <v>0</v>
      </c>
      <c r="P140" s="18"/>
      <c r="Q140" s="18">
        <f>발주발송관리!BB140</f>
        <v>0</v>
      </c>
      <c r="S140" s="20" t="str">
        <f t="shared" si="5"/>
        <v/>
      </c>
      <c r="T140" s="20" t="s">
        <v>275</v>
      </c>
      <c r="U140" s="20" t="s">
        <v>285</v>
      </c>
      <c r="V140" s="25" t="s">
        <v>198</v>
      </c>
      <c r="W140" s="25" t="s">
        <v>198</v>
      </c>
    </row>
    <row r="141" spans="1:23" ht="13.5">
      <c r="A141" s="9" t="s">
        <v>295</v>
      </c>
      <c r="B141" s="9" t="s">
        <v>296</v>
      </c>
      <c r="C141" s="16">
        <f t="shared" si="6"/>
        <v>0</v>
      </c>
      <c r="D141" s="16">
        <f>IFERROR(TRIM(LEFT(발주발송관리!T141,FIND(" ",발주발송관리!T141)-1)),0)</f>
        <v>0</v>
      </c>
      <c r="E141" s="16">
        <f>IFERROR(MID(발주발송관리!T141,FIND(" ",발주발송관리!T141)+1,LEN(발주발송관리!T141)-FIND(" ",발주발송관리!T141)+1),0)</f>
        <v>0</v>
      </c>
      <c r="F141" s="16">
        <f>발주발송관리!W141</f>
        <v>0</v>
      </c>
      <c r="G141" s="11">
        <f>발주발송관리!Y141</f>
        <v>0</v>
      </c>
      <c r="H141" s="17">
        <f>발주발송관리!Z141/1.6</f>
        <v>0</v>
      </c>
      <c r="I141" s="10"/>
      <c r="J141" s="10"/>
      <c r="K141" s="11"/>
      <c r="L141" s="11"/>
      <c r="M141" s="16">
        <f>IF(발주발송관리!M141=R141,0,발주발송관리!M141&amp;T141&amp;S141&amp;U141)</f>
        <v>0</v>
      </c>
      <c r="N141" s="16">
        <f>발주발송관리!AZ141</f>
        <v>0</v>
      </c>
      <c r="O141" s="16">
        <f>발주발송관리!AW141</f>
        <v>0</v>
      </c>
      <c r="P141" s="18"/>
      <c r="Q141" s="18">
        <f>발주발송관리!BB141</f>
        <v>0</v>
      </c>
      <c r="S141" s="20" t="str">
        <f t="shared" si="5"/>
        <v/>
      </c>
      <c r="T141" s="20" t="s">
        <v>275</v>
      </c>
      <c r="U141" s="20" t="s">
        <v>285</v>
      </c>
      <c r="V141" s="25" t="s">
        <v>199</v>
      </c>
      <c r="W141" s="25" t="s">
        <v>199</v>
      </c>
    </row>
    <row r="142" spans="1:23" ht="13.5">
      <c r="A142" s="9" t="s">
        <v>295</v>
      </c>
      <c r="B142" s="9" t="s">
        <v>296</v>
      </c>
      <c r="C142" s="16">
        <f t="shared" si="6"/>
        <v>0</v>
      </c>
      <c r="D142" s="16">
        <f>IFERROR(TRIM(LEFT(발주발송관리!T142,FIND(" ",발주발송관리!T142)-1)),0)</f>
        <v>0</v>
      </c>
      <c r="E142" s="16">
        <f>IFERROR(MID(발주발송관리!T142,FIND(" ",발주발송관리!T142)+1,LEN(발주발송관리!T142)-FIND(" ",발주발송관리!T142)+1),0)</f>
        <v>0</v>
      </c>
      <c r="F142" s="16">
        <f>발주발송관리!W142</f>
        <v>0</v>
      </c>
      <c r="G142" s="11">
        <f>발주발송관리!Y142</f>
        <v>0</v>
      </c>
      <c r="H142" s="17">
        <f>발주발송관리!Z142/1.6</f>
        <v>0</v>
      </c>
      <c r="I142" s="10"/>
      <c r="J142" s="10"/>
      <c r="K142" s="11"/>
      <c r="L142" s="11"/>
      <c r="M142" s="16">
        <f>IF(발주발송관리!M142=R142,0,발주발송관리!M142&amp;T142&amp;S142&amp;U142)</f>
        <v>0</v>
      </c>
      <c r="N142" s="16">
        <f>발주발송관리!AZ142</f>
        <v>0</v>
      </c>
      <c r="O142" s="16">
        <f>발주발송관리!AW142</f>
        <v>0</v>
      </c>
      <c r="P142" s="18"/>
      <c r="Q142" s="18">
        <f>발주발송관리!BB142</f>
        <v>0</v>
      </c>
      <c r="S142" s="20" t="str">
        <f t="shared" si="5"/>
        <v/>
      </c>
      <c r="T142" s="20" t="s">
        <v>275</v>
      </c>
      <c r="U142" s="20" t="s">
        <v>285</v>
      </c>
      <c r="V142" s="25" t="s">
        <v>200</v>
      </c>
      <c r="W142" s="25" t="s">
        <v>200</v>
      </c>
    </row>
    <row r="143" spans="1:23" ht="13.5">
      <c r="A143" s="9" t="s">
        <v>295</v>
      </c>
      <c r="B143" s="9" t="s">
        <v>296</v>
      </c>
      <c r="C143" s="16">
        <f t="shared" si="6"/>
        <v>0</v>
      </c>
      <c r="D143" s="16">
        <f>IFERROR(TRIM(LEFT(발주발송관리!T143,FIND(" ",발주발송관리!T143)-1)),0)</f>
        <v>0</v>
      </c>
      <c r="E143" s="16">
        <f>IFERROR(MID(발주발송관리!T143,FIND(" ",발주발송관리!T143)+1,LEN(발주발송관리!T143)-FIND(" ",발주발송관리!T143)+1),0)</f>
        <v>0</v>
      </c>
      <c r="F143" s="16">
        <f>발주발송관리!W143</f>
        <v>0</v>
      </c>
      <c r="G143" s="11">
        <f>발주발송관리!Y143</f>
        <v>0</v>
      </c>
      <c r="H143" s="17">
        <f>발주발송관리!Z143/1.6</f>
        <v>0</v>
      </c>
      <c r="I143" s="10"/>
      <c r="J143" s="10"/>
      <c r="K143" s="11"/>
      <c r="L143" s="11"/>
      <c r="M143" s="16">
        <f>IF(발주발송관리!M143=R143,0,발주발송관리!M143&amp;T143&amp;S143&amp;U143)</f>
        <v>0</v>
      </c>
      <c r="N143" s="16">
        <f>발주발송관리!AZ143</f>
        <v>0</v>
      </c>
      <c r="O143" s="16">
        <f>발주발송관리!AW143</f>
        <v>0</v>
      </c>
      <c r="P143" s="18"/>
      <c r="Q143" s="18">
        <f>발주발송관리!BB143</f>
        <v>0</v>
      </c>
      <c r="S143" s="20" t="str">
        <f t="shared" si="5"/>
        <v/>
      </c>
      <c r="T143" s="20" t="s">
        <v>275</v>
      </c>
      <c r="U143" s="20" t="s">
        <v>285</v>
      </c>
      <c r="V143" s="25" t="s">
        <v>201</v>
      </c>
      <c r="W143" s="25" t="s">
        <v>201</v>
      </c>
    </row>
    <row r="144" spans="1:23" ht="13.5">
      <c r="A144" s="9" t="s">
        <v>295</v>
      </c>
      <c r="B144" s="9" t="s">
        <v>296</v>
      </c>
      <c r="C144" s="16">
        <f t="shared" si="6"/>
        <v>0</v>
      </c>
      <c r="D144" s="16">
        <f>IFERROR(TRIM(LEFT(발주발송관리!T144,FIND(" ",발주발송관리!T144)-1)),0)</f>
        <v>0</v>
      </c>
      <c r="E144" s="16">
        <f>IFERROR(MID(발주발송관리!T144,FIND(" ",발주발송관리!T144)+1,LEN(발주발송관리!T144)-FIND(" ",발주발송관리!T144)+1),0)</f>
        <v>0</v>
      </c>
      <c r="F144" s="16">
        <f>발주발송관리!W144</f>
        <v>0</v>
      </c>
      <c r="G144" s="11">
        <f>발주발송관리!Y144</f>
        <v>0</v>
      </c>
      <c r="H144" s="17">
        <f>발주발송관리!Z144/1.6</f>
        <v>0</v>
      </c>
      <c r="I144" s="10"/>
      <c r="J144" s="10"/>
      <c r="K144" s="11"/>
      <c r="L144" s="11"/>
      <c r="M144" s="16">
        <f>IF(발주발송관리!M144=R144,0,발주발송관리!M144&amp;T144&amp;S144&amp;U144)</f>
        <v>0</v>
      </c>
      <c r="N144" s="16">
        <f>발주발송관리!AZ144</f>
        <v>0</v>
      </c>
      <c r="O144" s="16">
        <f>발주발송관리!AW144</f>
        <v>0</v>
      </c>
      <c r="P144" s="18"/>
      <c r="Q144" s="18">
        <f>발주발송관리!BB144</f>
        <v>0</v>
      </c>
      <c r="S144" s="20" t="str">
        <f t="shared" si="5"/>
        <v/>
      </c>
      <c r="T144" s="20" t="s">
        <v>275</v>
      </c>
      <c r="U144" s="20" t="s">
        <v>285</v>
      </c>
      <c r="V144" s="25" t="s">
        <v>202</v>
      </c>
      <c r="W144" s="25" t="s">
        <v>202</v>
      </c>
    </row>
    <row r="145" spans="1:23" ht="13.5">
      <c r="A145" s="9" t="s">
        <v>295</v>
      </c>
      <c r="B145" s="9" t="s">
        <v>296</v>
      </c>
      <c r="C145" s="16">
        <f t="shared" si="6"/>
        <v>0</v>
      </c>
      <c r="D145" s="16">
        <f>IFERROR(TRIM(LEFT(발주발송관리!T145,FIND(" ",발주발송관리!T145)-1)),0)</f>
        <v>0</v>
      </c>
      <c r="E145" s="16">
        <f>IFERROR(MID(발주발송관리!T145,FIND(" ",발주발송관리!T145)+1,LEN(발주발송관리!T145)-FIND(" ",발주발송관리!T145)+1),0)</f>
        <v>0</v>
      </c>
      <c r="F145" s="16">
        <f>발주발송관리!W145</f>
        <v>0</v>
      </c>
      <c r="G145" s="11">
        <f>발주발송관리!Y145</f>
        <v>0</v>
      </c>
      <c r="H145" s="17">
        <f>발주발송관리!Z145/1.6</f>
        <v>0</v>
      </c>
      <c r="I145" s="10"/>
      <c r="J145" s="10"/>
      <c r="K145" s="11"/>
      <c r="L145" s="11"/>
      <c r="M145" s="16">
        <f>IF(발주발송관리!M145=R145,0,발주발송관리!M145&amp;T145&amp;S145&amp;U145)</f>
        <v>0</v>
      </c>
      <c r="N145" s="16">
        <f>발주발송관리!AZ145</f>
        <v>0</v>
      </c>
      <c r="O145" s="16">
        <f>발주발송관리!AW145</f>
        <v>0</v>
      </c>
      <c r="P145" s="18"/>
      <c r="Q145" s="18">
        <f>발주발송관리!BB145</f>
        <v>0</v>
      </c>
      <c r="S145" s="20" t="str">
        <f t="shared" si="5"/>
        <v/>
      </c>
      <c r="T145" s="20" t="s">
        <v>275</v>
      </c>
      <c r="U145" s="20" t="s">
        <v>285</v>
      </c>
      <c r="V145" s="25" t="s">
        <v>203</v>
      </c>
      <c r="W145" s="25" t="s">
        <v>203</v>
      </c>
    </row>
    <row r="146" spans="1:23" ht="13.5">
      <c r="A146" s="9" t="s">
        <v>295</v>
      </c>
      <c r="B146" s="9" t="s">
        <v>296</v>
      </c>
      <c r="C146" s="16">
        <f t="shared" si="6"/>
        <v>0</v>
      </c>
      <c r="D146" s="16">
        <f>IFERROR(TRIM(LEFT(발주발송관리!T146,FIND(" ",발주발송관리!T146)-1)),0)</f>
        <v>0</v>
      </c>
      <c r="E146" s="16">
        <f>IFERROR(MID(발주발송관리!T146,FIND(" ",발주발송관리!T146)+1,LEN(발주발송관리!T146)-FIND(" ",발주발송관리!T146)+1),0)</f>
        <v>0</v>
      </c>
      <c r="F146" s="16">
        <f>발주발송관리!W146</f>
        <v>0</v>
      </c>
      <c r="G146" s="11">
        <f>발주발송관리!Y146</f>
        <v>0</v>
      </c>
      <c r="H146" s="17">
        <f>발주발송관리!Z146/1.6</f>
        <v>0</v>
      </c>
      <c r="I146" s="10"/>
      <c r="J146" s="10"/>
      <c r="K146" s="11"/>
      <c r="L146" s="11"/>
      <c r="M146" s="16">
        <f>IF(발주발송관리!M146=R146,0,발주발송관리!M146&amp;T146&amp;S146&amp;U146)</f>
        <v>0</v>
      </c>
      <c r="N146" s="16">
        <f>발주발송관리!AZ146</f>
        <v>0</v>
      </c>
      <c r="O146" s="16">
        <f>발주발송관리!AW146</f>
        <v>0</v>
      </c>
      <c r="P146" s="18"/>
      <c r="Q146" s="18">
        <f>발주발송관리!BB146</f>
        <v>0</v>
      </c>
      <c r="S146" s="20" t="str">
        <f t="shared" si="5"/>
        <v/>
      </c>
      <c r="T146" s="20" t="s">
        <v>275</v>
      </c>
      <c r="U146" s="20" t="s">
        <v>285</v>
      </c>
      <c r="V146" s="25" t="s">
        <v>204</v>
      </c>
      <c r="W146" s="25" t="s">
        <v>204</v>
      </c>
    </row>
    <row r="147" spans="1:23" ht="13.5">
      <c r="A147" s="9" t="s">
        <v>295</v>
      </c>
      <c r="B147" s="9" t="s">
        <v>296</v>
      </c>
      <c r="C147" s="16">
        <f t="shared" si="6"/>
        <v>0</v>
      </c>
      <c r="D147" s="16">
        <f>IFERROR(TRIM(LEFT(발주발송관리!T147,FIND(" ",발주발송관리!T147)-1)),0)</f>
        <v>0</v>
      </c>
      <c r="E147" s="16">
        <f>IFERROR(MID(발주발송관리!T147,FIND(" ",발주발송관리!T147)+1,LEN(발주발송관리!T147)-FIND(" ",발주발송관리!T147)+1),0)</f>
        <v>0</v>
      </c>
      <c r="F147" s="16">
        <f>발주발송관리!W147</f>
        <v>0</v>
      </c>
      <c r="G147" s="11">
        <f>발주발송관리!Y147</f>
        <v>0</v>
      </c>
      <c r="H147" s="17">
        <f>발주발송관리!Z147/1.6</f>
        <v>0</v>
      </c>
      <c r="I147" s="10"/>
      <c r="J147" s="10"/>
      <c r="K147" s="11"/>
      <c r="L147" s="11"/>
      <c r="M147" s="16">
        <f>IF(발주발송관리!M147=R147,0,발주발송관리!M147&amp;T147&amp;S147&amp;U147)</f>
        <v>0</v>
      </c>
      <c r="N147" s="16">
        <f>발주발송관리!AZ147</f>
        <v>0</v>
      </c>
      <c r="O147" s="16">
        <f>발주발송관리!AW147</f>
        <v>0</v>
      </c>
      <c r="P147" s="18"/>
      <c r="Q147" s="18">
        <f>발주발송관리!BB147</f>
        <v>0</v>
      </c>
      <c r="S147" s="20" t="str">
        <f t="shared" si="5"/>
        <v/>
      </c>
      <c r="T147" s="20" t="s">
        <v>275</v>
      </c>
      <c r="U147" s="20" t="s">
        <v>285</v>
      </c>
      <c r="V147" s="25" t="s">
        <v>205</v>
      </c>
      <c r="W147" s="25" t="s">
        <v>205</v>
      </c>
    </row>
    <row r="148" spans="1:23" ht="13.5">
      <c r="A148" s="9" t="s">
        <v>295</v>
      </c>
      <c r="B148" s="9" t="s">
        <v>296</v>
      </c>
      <c r="C148" s="16">
        <f t="shared" ref="C148:C163" si="7">M148</f>
        <v>0</v>
      </c>
      <c r="D148" s="16">
        <f>IFERROR(TRIM(LEFT(발주발송관리!T148,FIND(" ",발주발송관리!T148)-1)),0)</f>
        <v>0</v>
      </c>
      <c r="E148" s="16">
        <f>IFERROR(MID(발주발송관리!T148,FIND(" ",발주발송관리!T148)+1,LEN(발주발송관리!T148)-FIND(" ",발주발송관리!T148)+1),0)</f>
        <v>0</v>
      </c>
      <c r="F148" s="16">
        <f>발주발송관리!W148</f>
        <v>0</v>
      </c>
      <c r="G148" s="11">
        <f>발주발송관리!Y148</f>
        <v>0</v>
      </c>
      <c r="H148" s="17">
        <f>발주발송관리!Z148/1.6</f>
        <v>0</v>
      </c>
      <c r="I148" s="10"/>
      <c r="J148" s="10"/>
      <c r="K148" s="11"/>
      <c r="L148" s="11"/>
      <c r="M148" s="16">
        <f>IF(발주발송관리!M148=R148,0,발주발송관리!M148&amp;T148&amp;S148&amp;U148)</f>
        <v>0</v>
      </c>
      <c r="N148" s="16">
        <f>발주발송관리!AZ148</f>
        <v>0</v>
      </c>
      <c r="O148" s="16">
        <f>발주발송관리!AW148</f>
        <v>0</v>
      </c>
      <c r="P148" s="18"/>
      <c r="Q148" s="18">
        <f>발주발송관리!BB148</f>
        <v>0</v>
      </c>
      <c r="S148" s="20" t="str">
        <f t="shared" si="5"/>
        <v/>
      </c>
      <c r="T148" s="20" t="s">
        <v>275</v>
      </c>
      <c r="U148" s="20" t="s">
        <v>285</v>
      </c>
      <c r="V148" s="25" t="s">
        <v>206</v>
      </c>
      <c r="W148" s="25" t="s">
        <v>206</v>
      </c>
    </row>
    <row r="149" spans="1:23" ht="13.5">
      <c r="A149" s="9" t="s">
        <v>295</v>
      </c>
      <c r="B149" s="9" t="s">
        <v>296</v>
      </c>
      <c r="C149" s="16">
        <f t="shared" si="7"/>
        <v>0</v>
      </c>
      <c r="D149" s="16">
        <f>IFERROR(TRIM(LEFT(발주발송관리!T149,FIND(" ",발주발송관리!T149)-1)),0)</f>
        <v>0</v>
      </c>
      <c r="E149" s="16">
        <f>IFERROR(MID(발주발송관리!T149,FIND(" ",발주발송관리!T149)+1,LEN(발주발송관리!T149)-FIND(" ",발주발송관리!T149)+1),0)</f>
        <v>0</v>
      </c>
      <c r="F149" s="16">
        <f>발주발송관리!W149</f>
        <v>0</v>
      </c>
      <c r="G149" s="11">
        <f>발주발송관리!Y149</f>
        <v>0</v>
      </c>
      <c r="H149" s="17">
        <f>발주발송관리!Z149/1.6</f>
        <v>0</v>
      </c>
      <c r="I149" s="10"/>
      <c r="J149" s="10"/>
      <c r="K149" s="11"/>
      <c r="L149" s="11"/>
      <c r="M149" s="16">
        <f>IF(발주발송관리!M149=R149,0,발주발송관리!M149&amp;T149&amp;S149&amp;U149)</f>
        <v>0</v>
      </c>
      <c r="N149" s="16">
        <f>발주발송관리!AZ149</f>
        <v>0</v>
      </c>
      <c r="O149" s="16">
        <f>발주발송관리!AW149</f>
        <v>0</v>
      </c>
      <c r="P149" s="18"/>
      <c r="Q149" s="18">
        <f>발주발송관리!BB149</f>
        <v>0</v>
      </c>
      <c r="S149" s="20" t="str">
        <f t="shared" si="5"/>
        <v/>
      </c>
      <c r="T149" s="20" t="s">
        <v>275</v>
      </c>
      <c r="U149" s="20" t="s">
        <v>285</v>
      </c>
      <c r="V149" s="25" t="s">
        <v>207</v>
      </c>
      <c r="W149" s="25" t="s">
        <v>207</v>
      </c>
    </row>
    <row r="150" spans="1:23" ht="13.5">
      <c r="A150" s="9" t="s">
        <v>295</v>
      </c>
      <c r="B150" s="9" t="s">
        <v>296</v>
      </c>
      <c r="C150" s="16">
        <f t="shared" si="7"/>
        <v>0</v>
      </c>
      <c r="D150" s="16">
        <f>IFERROR(TRIM(LEFT(발주발송관리!T150,FIND(" ",발주발송관리!T150)-1)),0)</f>
        <v>0</v>
      </c>
      <c r="E150" s="16">
        <f>IFERROR(MID(발주발송관리!T150,FIND(" ",발주발송관리!T150)+1,LEN(발주발송관리!T150)-FIND(" ",발주발송관리!T150)+1),0)</f>
        <v>0</v>
      </c>
      <c r="F150" s="16">
        <f>발주발송관리!W150</f>
        <v>0</v>
      </c>
      <c r="G150" s="11">
        <f>발주발송관리!Y150</f>
        <v>0</v>
      </c>
      <c r="H150" s="17">
        <f>발주발송관리!Z150/1.6</f>
        <v>0</v>
      </c>
      <c r="I150" s="10"/>
      <c r="J150" s="10"/>
      <c r="K150" s="11"/>
      <c r="L150" s="11"/>
      <c r="M150" s="16">
        <f>IF(발주발송관리!M150=R150,0,발주발송관리!M150&amp;T150&amp;S150&amp;U150)</f>
        <v>0</v>
      </c>
      <c r="N150" s="16">
        <f>발주발송관리!AZ150</f>
        <v>0</v>
      </c>
      <c r="O150" s="16">
        <f>발주발송관리!AW150</f>
        <v>0</v>
      </c>
      <c r="P150" s="18"/>
      <c r="Q150" s="18">
        <f>발주발송관리!BB150</f>
        <v>0</v>
      </c>
      <c r="S150" s="20" t="str">
        <f t="shared" si="5"/>
        <v/>
      </c>
      <c r="T150" s="20" t="s">
        <v>275</v>
      </c>
      <c r="U150" s="20" t="s">
        <v>285</v>
      </c>
      <c r="V150" s="25" t="s">
        <v>208</v>
      </c>
      <c r="W150" s="25" t="s">
        <v>208</v>
      </c>
    </row>
    <row r="151" spans="1:23" ht="13.5">
      <c r="A151" s="9" t="s">
        <v>295</v>
      </c>
      <c r="B151" s="9" t="s">
        <v>296</v>
      </c>
      <c r="C151" s="16">
        <f t="shared" si="7"/>
        <v>0</v>
      </c>
      <c r="D151" s="16">
        <f>IFERROR(TRIM(LEFT(발주발송관리!T151,FIND(" ",발주발송관리!T151)-1)),0)</f>
        <v>0</v>
      </c>
      <c r="E151" s="16">
        <f>IFERROR(MID(발주발송관리!T151,FIND(" ",발주발송관리!T151)+1,LEN(발주발송관리!T151)-FIND(" ",발주발송관리!T151)+1),0)</f>
        <v>0</v>
      </c>
      <c r="F151" s="16">
        <f>발주발송관리!W151</f>
        <v>0</v>
      </c>
      <c r="G151" s="11">
        <f>발주발송관리!Y151</f>
        <v>0</v>
      </c>
      <c r="H151" s="17">
        <f>발주발송관리!Z151/1.6</f>
        <v>0</v>
      </c>
      <c r="I151" s="10"/>
      <c r="J151" s="10"/>
      <c r="K151" s="11"/>
      <c r="L151" s="11"/>
      <c r="M151" s="16">
        <f>IF(발주발송관리!M151=R151,0,발주발송관리!M151&amp;T151&amp;S151&amp;U151)</f>
        <v>0</v>
      </c>
      <c r="N151" s="16">
        <f>발주발송관리!AZ151</f>
        <v>0</v>
      </c>
      <c r="O151" s="16">
        <f>발주발송관리!AW151</f>
        <v>0</v>
      </c>
      <c r="P151" s="18"/>
      <c r="Q151" s="18">
        <f>발주발송관리!BB151</f>
        <v>0</v>
      </c>
      <c r="S151" s="20" t="str">
        <f t="shared" si="5"/>
        <v/>
      </c>
      <c r="T151" s="20" t="s">
        <v>275</v>
      </c>
      <c r="U151" s="20" t="s">
        <v>285</v>
      </c>
      <c r="V151" s="25" t="s">
        <v>209</v>
      </c>
      <c r="W151" s="25" t="s">
        <v>209</v>
      </c>
    </row>
    <row r="152" spans="1:23" ht="13.5">
      <c r="A152" s="9" t="s">
        <v>295</v>
      </c>
      <c r="B152" s="9" t="s">
        <v>296</v>
      </c>
      <c r="C152" s="16">
        <f t="shared" si="7"/>
        <v>0</v>
      </c>
      <c r="D152" s="16">
        <f>IFERROR(TRIM(LEFT(발주발송관리!T152,FIND(" ",발주발송관리!T152)-1)),0)</f>
        <v>0</v>
      </c>
      <c r="E152" s="16">
        <f>IFERROR(MID(발주발송관리!T152,FIND(" ",발주발송관리!T152)+1,LEN(발주발송관리!T152)-FIND(" ",발주발송관리!T152)+1),0)</f>
        <v>0</v>
      </c>
      <c r="F152" s="16">
        <f>발주발송관리!W152</f>
        <v>0</v>
      </c>
      <c r="G152" s="11">
        <f>발주발송관리!Y152</f>
        <v>0</v>
      </c>
      <c r="H152" s="17">
        <f>발주발송관리!Z152/1.6</f>
        <v>0</v>
      </c>
      <c r="I152" s="10"/>
      <c r="J152" s="10"/>
      <c r="K152" s="11"/>
      <c r="L152" s="11"/>
      <c r="M152" s="16">
        <f>IF(발주발송관리!M152=R152,0,발주발송관리!M152&amp;T152&amp;S152&amp;U152)</f>
        <v>0</v>
      </c>
      <c r="N152" s="16">
        <f>발주발송관리!AZ152</f>
        <v>0</v>
      </c>
      <c r="O152" s="16">
        <f>발주발송관리!AW152</f>
        <v>0</v>
      </c>
      <c r="P152" s="18"/>
      <c r="Q152" s="18">
        <f>발주발송관리!BB152</f>
        <v>0</v>
      </c>
      <c r="S152" s="20" t="str">
        <f t="shared" si="5"/>
        <v/>
      </c>
      <c r="T152" s="20" t="s">
        <v>275</v>
      </c>
      <c r="U152" s="20" t="s">
        <v>285</v>
      </c>
      <c r="V152" s="25" t="s">
        <v>210</v>
      </c>
      <c r="W152" s="25" t="s">
        <v>210</v>
      </c>
    </row>
    <row r="153" spans="1:23" ht="13.5">
      <c r="A153" s="9" t="s">
        <v>295</v>
      </c>
      <c r="B153" s="9" t="s">
        <v>296</v>
      </c>
      <c r="C153" s="16">
        <f t="shared" si="7"/>
        <v>0</v>
      </c>
      <c r="D153" s="16">
        <f>IFERROR(TRIM(LEFT(발주발송관리!T153,FIND(" ",발주발송관리!T153)-1)),0)</f>
        <v>0</v>
      </c>
      <c r="E153" s="16">
        <f>IFERROR(MID(발주발송관리!T153,FIND(" ",발주발송관리!T153)+1,LEN(발주발송관리!T153)-FIND(" ",발주발송관리!T153)+1),0)</f>
        <v>0</v>
      </c>
      <c r="F153" s="16">
        <f>발주발송관리!W153</f>
        <v>0</v>
      </c>
      <c r="G153" s="11">
        <f>발주발송관리!Y153</f>
        <v>0</v>
      </c>
      <c r="H153" s="17">
        <f>발주발송관리!Z153/1.6</f>
        <v>0</v>
      </c>
      <c r="I153" s="10"/>
      <c r="J153" s="10"/>
      <c r="K153" s="11"/>
      <c r="L153" s="11"/>
      <c r="M153" s="16">
        <f>IF(발주발송관리!M153=R153,0,발주발송관리!M153&amp;T153&amp;S153&amp;U153)</f>
        <v>0</v>
      </c>
      <c r="N153" s="16">
        <f>발주발송관리!AZ153</f>
        <v>0</v>
      </c>
      <c r="O153" s="16">
        <f>발주발송관리!AW153</f>
        <v>0</v>
      </c>
      <c r="P153" s="18"/>
      <c r="Q153" s="18">
        <f>발주발송관리!BB153</f>
        <v>0</v>
      </c>
      <c r="S153" s="20" t="str">
        <f t="shared" si="5"/>
        <v/>
      </c>
      <c r="T153" s="20" t="s">
        <v>275</v>
      </c>
      <c r="U153" s="20" t="s">
        <v>285</v>
      </c>
      <c r="V153" s="25" t="s">
        <v>211</v>
      </c>
      <c r="W153" s="25" t="s">
        <v>211</v>
      </c>
    </row>
    <row r="154" spans="1:23" ht="13.5">
      <c r="A154" s="9" t="s">
        <v>295</v>
      </c>
      <c r="B154" s="9" t="s">
        <v>296</v>
      </c>
      <c r="C154" s="16">
        <f t="shared" si="7"/>
        <v>0</v>
      </c>
      <c r="D154" s="16">
        <f>IFERROR(TRIM(LEFT(발주발송관리!T154,FIND(" ",발주발송관리!T154)-1)),0)</f>
        <v>0</v>
      </c>
      <c r="E154" s="16">
        <f>IFERROR(MID(발주발송관리!T154,FIND(" ",발주발송관리!T154)+1,LEN(발주발송관리!T154)-FIND(" ",발주발송관리!T154)+1),0)</f>
        <v>0</v>
      </c>
      <c r="F154" s="16">
        <f>발주발송관리!W154</f>
        <v>0</v>
      </c>
      <c r="G154" s="11">
        <f>발주발송관리!Y154</f>
        <v>0</v>
      </c>
      <c r="H154" s="17">
        <f>발주발송관리!Z154/1.6</f>
        <v>0</v>
      </c>
      <c r="I154" s="10"/>
      <c r="J154" s="10"/>
      <c r="K154" s="11"/>
      <c r="L154" s="11"/>
      <c r="M154" s="16">
        <f>IF(발주발송관리!M154=R154,0,발주발송관리!M154&amp;T154&amp;S154&amp;U154)</f>
        <v>0</v>
      </c>
      <c r="N154" s="16">
        <f>발주발송관리!AZ154</f>
        <v>0</v>
      </c>
      <c r="O154" s="16">
        <f>발주발송관리!AW154</f>
        <v>0</v>
      </c>
      <c r="P154" s="18"/>
      <c r="Q154" s="18">
        <f>발주발송관리!BB154</f>
        <v>0</v>
      </c>
      <c r="S154" s="20" t="str">
        <f t="shared" si="5"/>
        <v/>
      </c>
      <c r="T154" s="20" t="s">
        <v>275</v>
      </c>
      <c r="U154" s="20" t="s">
        <v>285</v>
      </c>
      <c r="V154" s="25" t="s">
        <v>212</v>
      </c>
      <c r="W154" s="25" t="s">
        <v>212</v>
      </c>
    </row>
    <row r="155" spans="1:23" ht="13.5">
      <c r="A155" s="9" t="s">
        <v>295</v>
      </c>
      <c r="B155" s="9" t="s">
        <v>296</v>
      </c>
      <c r="C155" s="16">
        <f t="shared" si="7"/>
        <v>0</v>
      </c>
      <c r="D155" s="16">
        <f>IFERROR(TRIM(LEFT(발주발송관리!T155,FIND(" ",발주발송관리!T155)-1)),0)</f>
        <v>0</v>
      </c>
      <c r="E155" s="16">
        <f>IFERROR(MID(발주발송관리!T155,FIND(" ",발주발송관리!T155)+1,LEN(발주발송관리!T155)-FIND(" ",발주발송관리!T155)+1),0)</f>
        <v>0</v>
      </c>
      <c r="F155" s="16">
        <f>발주발송관리!W155</f>
        <v>0</v>
      </c>
      <c r="G155" s="11">
        <f>발주발송관리!Y155</f>
        <v>0</v>
      </c>
      <c r="H155" s="17">
        <f>발주발송관리!Z155/1.6</f>
        <v>0</v>
      </c>
      <c r="I155" s="10"/>
      <c r="J155" s="10"/>
      <c r="K155" s="11"/>
      <c r="L155" s="11"/>
      <c r="M155" s="16">
        <f>IF(발주발송관리!M155=R155,0,발주발송관리!M155&amp;T155&amp;S155&amp;U155)</f>
        <v>0</v>
      </c>
      <c r="N155" s="16">
        <f>발주발송관리!AZ155</f>
        <v>0</v>
      </c>
      <c r="O155" s="16">
        <f>발주발송관리!AW155</f>
        <v>0</v>
      </c>
      <c r="P155" s="18"/>
      <c r="Q155" s="18">
        <f>발주발송관리!BB155</f>
        <v>0</v>
      </c>
      <c r="S155" s="20" t="str">
        <f t="shared" si="5"/>
        <v/>
      </c>
      <c r="T155" s="20" t="s">
        <v>275</v>
      </c>
      <c r="U155" s="20" t="s">
        <v>285</v>
      </c>
      <c r="V155" s="25" t="s">
        <v>213</v>
      </c>
      <c r="W155" s="25" t="s">
        <v>213</v>
      </c>
    </row>
    <row r="156" spans="1:23" ht="13.5">
      <c r="A156" s="9" t="s">
        <v>295</v>
      </c>
      <c r="B156" s="9" t="s">
        <v>296</v>
      </c>
      <c r="C156" s="16">
        <f t="shared" si="7"/>
        <v>0</v>
      </c>
      <c r="D156" s="16">
        <f>IFERROR(TRIM(LEFT(발주발송관리!T156,FIND(" ",발주발송관리!T156)-1)),0)</f>
        <v>0</v>
      </c>
      <c r="E156" s="16">
        <f>IFERROR(MID(발주발송관리!T156,FIND(" ",발주발송관리!T156)+1,LEN(발주발송관리!T156)-FIND(" ",발주발송관리!T156)+1),0)</f>
        <v>0</v>
      </c>
      <c r="F156" s="16">
        <f>발주발송관리!W156</f>
        <v>0</v>
      </c>
      <c r="G156" s="11">
        <f>발주발송관리!Y156</f>
        <v>0</v>
      </c>
      <c r="H156" s="17">
        <f>발주발송관리!Z156/1.6</f>
        <v>0</v>
      </c>
      <c r="I156" s="10"/>
      <c r="J156" s="10"/>
      <c r="K156" s="11"/>
      <c r="L156" s="11"/>
      <c r="M156" s="16">
        <f>IF(발주발송관리!M156=R156,0,발주발송관리!M156&amp;T156&amp;S156&amp;U156)</f>
        <v>0</v>
      </c>
      <c r="N156" s="16">
        <f>발주발송관리!AZ156</f>
        <v>0</v>
      </c>
      <c r="O156" s="16">
        <f>발주발송관리!AW156</f>
        <v>0</v>
      </c>
      <c r="P156" s="18"/>
      <c r="Q156" s="18">
        <f>발주발송관리!BB156</f>
        <v>0</v>
      </c>
      <c r="S156" s="20" t="str">
        <f t="shared" si="5"/>
        <v/>
      </c>
      <c r="T156" s="20" t="s">
        <v>275</v>
      </c>
      <c r="U156" s="20" t="s">
        <v>285</v>
      </c>
      <c r="V156" s="25" t="s">
        <v>214</v>
      </c>
      <c r="W156" s="25" t="s">
        <v>214</v>
      </c>
    </row>
    <row r="157" spans="1:23" ht="13.5">
      <c r="A157" s="9" t="s">
        <v>295</v>
      </c>
      <c r="B157" s="9" t="s">
        <v>296</v>
      </c>
      <c r="C157" s="16">
        <f t="shared" si="7"/>
        <v>0</v>
      </c>
      <c r="D157" s="16">
        <f>IFERROR(TRIM(LEFT(발주발송관리!T157,FIND(" ",발주발송관리!T157)-1)),0)</f>
        <v>0</v>
      </c>
      <c r="E157" s="16">
        <f>IFERROR(MID(발주발송관리!T157,FIND(" ",발주발송관리!T157)+1,LEN(발주발송관리!T157)-FIND(" ",발주발송관리!T157)+1),0)</f>
        <v>0</v>
      </c>
      <c r="F157" s="16">
        <f>발주발송관리!W157</f>
        <v>0</v>
      </c>
      <c r="G157" s="11">
        <f>발주발송관리!Y157</f>
        <v>0</v>
      </c>
      <c r="H157" s="17">
        <f>발주발송관리!Z157/1.6</f>
        <v>0</v>
      </c>
      <c r="I157" s="10"/>
      <c r="J157" s="10"/>
      <c r="K157" s="11"/>
      <c r="L157" s="11"/>
      <c r="M157" s="16">
        <f>IF(발주발송관리!M157=R157,0,발주발송관리!M157&amp;T157&amp;S157&amp;U157)</f>
        <v>0</v>
      </c>
      <c r="N157" s="16">
        <f>발주발송관리!AZ157</f>
        <v>0</v>
      </c>
      <c r="O157" s="16">
        <f>발주발송관리!AW157</f>
        <v>0</v>
      </c>
      <c r="P157" s="18"/>
      <c r="Q157" s="18">
        <f>발주발송관리!BB157</f>
        <v>0</v>
      </c>
      <c r="S157" s="20" t="str">
        <f t="shared" si="5"/>
        <v/>
      </c>
      <c r="T157" s="20" t="s">
        <v>275</v>
      </c>
      <c r="U157" s="20" t="s">
        <v>285</v>
      </c>
      <c r="V157" s="25" t="s">
        <v>215</v>
      </c>
      <c r="W157" s="25" t="s">
        <v>215</v>
      </c>
    </row>
    <row r="158" spans="1:23" ht="13.5">
      <c r="A158" s="9" t="s">
        <v>295</v>
      </c>
      <c r="B158" s="9" t="s">
        <v>296</v>
      </c>
      <c r="C158" s="16">
        <f t="shared" si="7"/>
        <v>0</v>
      </c>
      <c r="D158" s="16">
        <f>IFERROR(TRIM(LEFT(발주발송관리!T158,FIND(" ",발주발송관리!T158)-1)),0)</f>
        <v>0</v>
      </c>
      <c r="E158" s="16">
        <f>IFERROR(MID(발주발송관리!T158,FIND(" ",발주발송관리!T158)+1,LEN(발주발송관리!T158)-FIND(" ",발주발송관리!T158)+1),0)</f>
        <v>0</v>
      </c>
      <c r="F158" s="16">
        <f>발주발송관리!W158</f>
        <v>0</v>
      </c>
      <c r="G158" s="11">
        <f>발주발송관리!Y158</f>
        <v>0</v>
      </c>
      <c r="H158" s="17">
        <f>발주발송관리!Z158/1.6</f>
        <v>0</v>
      </c>
      <c r="I158" s="10"/>
      <c r="J158" s="10"/>
      <c r="K158" s="11"/>
      <c r="L158" s="11"/>
      <c r="M158" s="16">
        <f>IF(발주발송관리!M158=R158,0,발주발송관리!M158&amp;T158&amp;S158&amp;U158)</f>
        <v>0</v>
      </c>
      <c r="N158" s="16">
        <f>발주발송관리!AZ158</f>
        <v>0</v>
      </c>
      <c r="O158" s="16">
        <f>발주발송관리!AW158</f>
        <v>0</v>
      </c>
      <c r="P158" s="18"/>
      <c r="Q158" s="18">
        <f>발주발송관리!BB158</f>
        <v>0</v>
      </c>
      <c r="S158" s="20" t="str">
        <f t="shared" si="5"/>
        <v/>
      </c>
      <c r="T158" s="20" t="s">
        <v>275</v>
      </c>
      <c r="U158" s="20" t="s">
        <v>285</v>
      </c>
      <c r="V158" s="25" t="s">
        <v>216</v>
      </c>
      <c r="W158" s="25" t="s">
        <v>216</v>
      </c>
    </row>
    <row r="159" spans="1:23" ht="13.5">
      <c r="A159" s="9" t="s">
        <v>295</v>
      </c>
      <c r="B159" s="9" t="s">
        <v>296</v>
      </c>
      <c r="C159" s="16">
        <f t="shared" si="7"/>
        <v>0</v>
      </c>
      <c r="D159" s="16">
        <f>IFERROR(TRIM(LEFT(발주발송관리!T159,FIND(" ",발주발송관리!T159)-1)),0)</f>
        <v>0</v>
      </c>
      <c r="E159" s="16">
        <f>IFERROR(MID(발주발송관리!T159,FIND(" ",발주발송관리!T159)+1,LEN(발주발송관리!T159)-FIND(" ",발주발송관리!T159)+1),0)</f>
        <v>0</v>
      </c>
      <c r="F159" s="16">
        <f>발주발송관리!W159</f>
        <v>0</v>
      </c>
      <c r="G159" s="11">
        <f>발주발송관리!Y159</f>
        <v>0</v>
      </c>
      <c r="H159" s="17">
        <f>발주발송관리!Z159/1.6</f>
        <v>0</v>
      </c>
      <c r="I159" s="10"/>
      <c r="J159" s="10"/>
      <c r="K159" s="11"/>
      <c r="L159" s="11"/>
      <c r="M159" s="16">
        <f>IF(발주발송관리!M159=R159,0,발주발송관리!M159&amp;T159&amp;S159&amp;U159)</f>
        <v>0</v>
      </c>
      <c r="N159" s="16">
        <f>발주발송관리!AZ159</f>
        <v>0</v>
      </c>
      <c r="O159" s="16">
        <f>발주발송관리!AW159</f>
        <v>0</v>
      </c>
      <c r="P159" s="18"/>
      <c r="Q159" s="18">
        <f>발주발송관리!BB159</f>
        <v>0</v>
      </c>
      <c r="S159" s="20" t="str">
        <f t="shared" si="5"/>
        <v/>
      </c>
      <c r="T159" s="20" t="s">
        <v>275</v>
      </c>
      <c r="U159" s="20" t="s">
        <v>285</v>
      </c>
      <c r="V159" s="25" t="s">
        <v>217</v>
      </c>
      <c r="W159" s="25" t="s">
        <v>217</v>
      </c>
    </row>
    <row r="160" spans="1:23" ht="13.5">
      <c r="A160" s="9" t="s">
        <v>295</v>
      </c>
      <c r="B160" s="9" t="s">
        <v>296</v>
      </c>
      <c r="C160" s="16">
        <f t="shared" si="7"/>
        <v>0</v>
      </c>
      <c r="D160" s="16">
        <f>IFERROR(TRIM(LEFT(발주발송관리!T160,FIND(" ",발주발송관리!T160)-1)),0)</f>
        <v>0</v>
      </c>
      <c r="E160" s="16">
        <f>IFERROR(MID(발주발송관리!T160,FIND(" ",발주발송관리!T160)+1,LEN(발주발송관리!T160)-FIND(" ",발주발송관리!T160)+1),0)</f>
        <v>0</v>
      </c>
      <c r="F160" s="16">
        <f>발주발송관리!W160</f>
        <v>0</v>
      </c>
      <c r="G160" s="11">
        <f>발주발송관리!Y160</f>
        <v>0</v>
      </c>
      <c r="H160" s="17">
        <f>발주발송관리!Z160/1.6</f>
        <v>0</v>
      </c>
      <c r="I160" s="10"/>
      <c r="J160" s="10"/>
      <c r="K160" s="11"/>
      <c r="L160" s="11"/>
      <c r="M160" s="16">
        <f>IF(발주발송관리!M160=R160,0,발주발송관리!M160&amp;T160&amp;S160&amp;U160)</f>
        <v>0</v>
      </c>
      <c r="N160" s="16">
        <f>발주발송관리!AZ160</f>
        <v>0</v>
      </c>
      <c r="O160" s="16">
        <f>발주발송관리!AW160</f>
        <v>0</v>
      </c>
      <c r="P160" s="18"/>
      <c r="Q160" s="18">
        <f>발주발송관리!BB160</f>
        <v>0</v>
      </c>
      <c r="S160" s="20" t="str">
        <f t="shared" si="5"/>
        <v/>
      </c>
      <c r="T160" s="20" t="s">
        <v>275</v>
      </c>
      <c r="U160" s="20" t="s">
        <v>285</v>
      </c>
      <c r="V160" s="25" t="s">
        <v>218</v>
      </c>
      <c r="W160" s="25" t="s">
        <v>218</v>
      </c>
    </row>
    <row r="161" spans="1:23" ht="13.5">
      <c r="A161" s="9" t="s">
        <v>295</v>
      </c>
      <c r="B161" s="9" t="s">
        <v>296</v>
      </c>
      <c r="C161" s="16">
        <f t="shared" si="7"/>
        <v>0</v>
      </c>
      <c r="D161" s="16">
        <f>IFERROR(TRIM(LEFT(발주발송관리!T161,FIND(" ",발주발송관리!T161)-1)),0)</f>
        <v>0</v>
      </c>
      <c r="E161" s="16">
        <f>IFERROR(MID(발주발송관리!T161,FIND(" ",발주발송관리!T161)+1,LEN(발주발송관리!T161)-FIND(" ",발주발송관리!T161)+1),0)</f>
        <v>0</v>
      </c>
      <c r="F161" s="16">
        <f>발주발송관리!W161</f>
        <v>0</v>
      </c>
      <c r="G161" s="11">
        <f>발주발송관리!Y161</f>
        <v>0</v>
      </c>
      <c r="H161" s="17">
        <f>발주발송관리!Z161/1.6</f>
        <v>0</v>
      </c>
      <c r="I161" s="10"/>
      <c r="J161" s="10"/>
      <c r="K161" s="11"/>
      <c r="L161" s="11"/>
      <c r="M161" s="16">
        <f>IF(발주발송관리!M161=R161,0,발주발송관리!M161&amp;T161&amp;S161&amp;U161)</f>
        <v>0</v>
      </c>
      <c r="N161" s="16">
        <f>발주발송관리!AZ161</f>
        <v>0</v>
      </c>
      <c r="O161" s="16">
        <f>발주발송관리!AW161</f>
        <v>0</v>
      </c>
      <c r="P161" s="18"/>
      <c r="Q161" s="18">
        <f>발주발송관리!BB161</f>
        <v>0</v>
      </c>
      <c r="S161" s="20" t="str">
        <f t="shared" si="5"/>
        <v/>
      </c>
      <c r="T161" s="20" t="s">
        <v>275</v>
      </c>
      <c r="U161" s="20" t="s">
        <v>285</v>
      </c>
      <c r="V161" s="25" t="s">
        <v>219</v>
      </c>
      <c r="W161" s="25" t="s">
        <v>219</v>
      </c>
    </row>
    <row r="162" spans="1:23" ht="13.5">
      <c r="A162" s="9" t="s">
        <v>295</v>
      </c>
      <c r="B162" s="9" t="s">
        <v>296</v>
      </c>
      <c r="C162" s="16">
        <f t="shared" si="7"/>
        <v>0</v>
      </c>
      <c r="D162" s="16">
        <f>IFERROR(TRIM(LEFT(발주발송관리!T162,FIND(" ",발주발송관리!T162)-1)),0)</f>
        <v>0</v>
      </c>
      <c r="E162" s="16">
        <f>IFERROR(MID(발주발송관리!T162,FIND(" ",발주발송관리!T162)+1,LEN(발주발송관리!T162)-FIND(" ",발주발송관리!T162)+1),0)</f>
        <v>0</v>
      </c>
      <c r="F162" s="16">
        <f>발주발송관리!W162</f>
        <v>0</v>
      </c>
      <c r="G162" s="11">
        <f>발주발송관리!Y162</f>
        <v>0</v>
      </c>
      <c r="H162" s="17">
        <f>발주발송관리!Z162/1.6</f>
        <v>0</v>
      </c>
      <c r="I162" s="10"/>
      <c r="J162" s="10"/>
      <c r="K162" s="11"/>
      <c r="L162" s="11"/>
      <c r="M162" s="16">
        <f>IF(발주발송관리!M162=R162,0,발주발송관리!M162&amp;T162&amp;S162&amp;U162)</f>
        <v>0</v>
      </c>
      <c r="N162" s="16">
        <f>발주발송관리!AZ162</f>
        <v>0</v>
      </c>
      <c r="O162" s="16">
        <f>발주발송관리!AW162</f>
        <v>0</v>
      </c>
      <c r="P162" s="18"/>
      <c r="Q162" s="18">
        <f>발주발송관리!BB162</f>
        <v>0</v>
      </c>
      <c r="S162" s="20" t="str">
        <f t="shared" si="5"/>
        <v/>
      </c>
      <c r="T162" s="20" t="s">
        <v>275</v>
      </c>
      <c r="U162" s="20" t="s">
        <v>285</v>
      </c>
      <c r="V162" s="25" t="s">
        <v>220</v>
      </c>
      <c r="W162" s="25" t="s">
        <v>220</v>
      </c>
    </row>
    <row r="163" spans="1:23" ht="13.5">
      <c r="A163" s="9" t="s">
        <v>295</v>
      </c>
      <c r="B163" s="9" t="s">
        <v>296</v>
      </c>
      <c r="C163" s="16">
        <f t="shared" si="7"/>
        <v>0</v>
      </c>
      <c r="D163" s="16">
        <f>IFERROR(TRIM(LEFT(발주발송관리!T163,FIND(" ",발주발송관리!T163)-1)),0)</f>
        <v>0</v>
      </c>
      <c r="E163" s="16">
        <f>IFERROR(MID(발주발송관리!T163,FIND(" ",발주발송관리!T163)+1,LEN(발주발송관리!T163)-FIND(" ",발주발송관리!T163)+1),0)</f>
        <v>0</v>
      </c>
      <c r="F163" s="16">
        <f>발주발송관리!W163</f>
        <v>0</v>
      </c>
      <c r="G163" s="11">
        <f>발주발송관리!Y163</f>
        <v>0</v>
      </c>
      <c r="H163" s="17">
        <f>발주발송관리!Z163/1.6</f>
        <v>0</v>
      </c>
      <c r="I163" s="10"/>
      <c r="J163" s="10"/>
      <c r="K163" s="11"/>
      <c r="L163" s="11"/>
      <c r="M163" s="16">
        <f>IF(발주발송관리!M163=R163,0,발주발송관리!M163&amp;T163&amp;S163&amp;U163)</f>
        <v>0</v>
      </c>
      <c r="N163" s="16">
        <f>발주발송관리!AZ163</f>
        <v>0</v>
      </c>
      <c r="O163" s="16">
        <f>발주발송관리!AW163</f>
        <v>0</v>
      </c>
      <c r="P163" s="18"/>
      <c r="Q163" s="18">
        <f>발주발송관리!BB163</f>
        <v>0</v>
      </c>
      <c r="S163" s="20" t="str">
        <f t="shared" si="5"/>
        <v/>
      </c>
      <c r="T163" s="20" t="s">
        <v>275</v>
      </c>
      <c r="U163" s="20" t="s">
        <v>285</v>
      </c>
      <c r="V163" s="25" t="s">
        <v>221</v>
      </c>
      <c r="W163" s="25" t="s">
        <v>221</v>
      </c>
    </row>
    <row r="164" spans="1:23" ht="13.5">
      <c r="A164" s="9" t="s">
        <v>295</v>
      </c>
      <c r="B164" s="9" t="s">
        <v>296</v>
      </c>
      <c r="C164" s="16">
        <f t="shared" ref="C164:C185" si="8">M164</f>
        <v>0</v>
      </c>
      <c r="D164" s="16">
        <f>IFERROR(TRIM(LEFT(발주발송관리!T164,FIND(" ",발주발송관리!T164)-1)),0)</f>
        <v>0</v>
      </c>
      <c r="E164" s="16">
        <f>IFERROR(MID(발주발송관리!T164,FIND(" ",발주발송관리!T164)+1,LEN(발주발송관리!T164)-FIND(" ",발주발송관리!T164)+1),0)</f>
        <v>0</v>
      </c>
      <c r="F164" s="16">
        <f>발주발송관리!W164</f>
        <v>0</v>
      </c>
      <c r="G164" s="11">
        <f>발주발송관리!Y164</f>
        <v>0</v>
      </c>
      <c r="H164" s="17">
        <f>발주발송관리!Z164/1.6</f>
        <v>0</v>
      </c>
      <c r="I164" s="10"/>
      <c r="J164" s="10"/>
      <c r="K164" s="11"/>
      <c r="L164" s="11"/>
      <c r="M164" s="16">
        <f>IF(발주발송관리!M164=R164,0,발주발송관리!M164&amp;T164&amp;S164&amp;U164)</f>
        <v>0</v>
      </c>
      <c r="N164" s="16">
        <f>발주발송관리!AZ164</f>
        <v>0</v>
      </c>
      <c r="O164" s="16">
        <f>발주발송관리!AW164</f>
        <v>0</v>
      </c>
      <c r="P164" s="18"/>
      <c r="Q164" s="18">
        <f>발주발송관리!BB164</f>
        <v>0</v>
      </c>
      <c r="S164" s="20" t="str">
        <f t="shared" si="5"/>
        <v/>
      </c>
      <c r="T164" s="20" t="s">
        <v>275</v>
      </c>
      <c r="U164" s="20" t="s">
        <v>285</v>
      </c>
      <c r="V164" s="25" t="s">
        <v>222</v>
      </c>
      <c r="W164" s="25" t="s">
        <v>222</v>
      </c>
    </row>
    <row r="165" spans="1:23" ht="13.5">
      <c r="A165" s="9" t="s">
        <v>295</v>
      </c>
      <c r="B165" s="9" t="s">
        <v>296</v>
      </c>
      <c r="C165" s="16">
        <f t="shared" si="8"/>
        <v>0</v>
      </c>
      <c r="D165" s="16">
        <f>IFERROR(TRIM(LEFT(발주발송관리!T165,FIND(" ",발주발송관리!T165)-1)),0)</f>
        <v>0</v>
      </c>
      <c r="E165" s="16">
        <f>IFERROR(MID(발주발송관리!T165,FIND(" ",발주발송관리!T165)+1,LEN(발주발송관리!T165)-FIND(" ",발주발송관리!T165)+1),0)</f>
        <v>0</v>
      </c>
      <c r="F165" s="16">
        <f>발주발송관리!W165</f>
        <v>0</v>
      </c>
      <c r="G165" s="11">
        <f>발주발송관리!Y165</f>
        <v>0</v>
      </c>
      <c r="H165" s="17">
        <f>발주발송관리!Z165/1.6</f>
        <v>0</v>
      </c>
      <c r="I165" s="10"/>
      <c r="J165" s="10"/>
      <c r="K165" s="11"/>
      <c r="L165" s="11"/>
      <c r="M165" s="16">
        <f>IF(발주발송관리!M165=R165,0,발주발송관리!M165&amp;T165&amp;S165&amp;U165)</f>
        <v>0</v>
      </c>
      <c r="N165" s="16">
        <f>발주발송관리!AZ165</f>
        <v>0</v>
      </c>
      <c r="O165" s="16">
        <f>발주발송관리!AW165</f>
        <v>0</v>
      </c>
      <c r="P165" s="18"/>
      <c r="Q165" s="18">
        <f>발주발송관리!BB165</f>
        <v>0</v>
      </c>
      <c r="S165" s="20" t="str">
        <f t="shared" si="5"/>
        <v/>
      </c>
      <c r="T165" s="20" t="s">
        <v>275</v>
      </c>
      <c r="U165" s="20" t="s">
        <v>285</v>
      </c>
      <c r="V165" s="25" t="s">
        <v>223</v>
      </c>
      <c r="W165" s="25" t="s">
        <v>223</v>
      </c>
    </row>
    <row r="166" spans="1:23" ht="13.5">
      <c r="A166" s="9" t="s">
        <v>295</v>
      </c>
      <c r="B166" s="9" t="s">
        <v>296</v>
      </c>
      <c r="C166" s="16">
        <f t="shared" si="8"/>
        <v>0</v>
      </c>
      <c r="D166" s="16">
        <f>IFERROR(TRIM(LEFT(발주발송관리!T166,FIND(" ",발주발송관리!T166)-1)),0)</f>
        <v>0</v>
      </c>
      <c r="E166" s="16">
        <f>IFERROR(MID(발주발송관리!T166,FIND(" ",발주발송관리!T166)+1,LEN(발주발송관리!T166)-FIND(" ",발주발송관리!T166)+1),0)</f>
        <v>0</v>
      </c>
      <c r="F166" s="16">
        <f>발주발송관리!W166</f>
        <v>0</v>
      </c>
      <c r="G166" s="11">
        <f>발주발송관리!Y166</f>
        <v>0</v>
      </c>
      <c r="H166" s="17">
        <f>발주발송관리!Z166/1.6</f>
        <v>0</v>
      </c>
      <c r="I166" s="10"/>
      <c r="J166" s="10"/>
      <c r="K166" s="11"/>
      <c r="L166" s="11"/>
      <c r="M166" s="16">
        <f>IF(발주발송관리!M166=R166,0,발주발송관리!M166&amp;T166&amp;S166&amp;U166)</f>
        <v>0</v>
      </c>
      <c r="N166" s="16">
        <f>발주발송관리!AZ166</f>
        <v>0</v>
      </c>
      <c r="O166" s="16">
        <f>발주발송관리!AW166</f>
        <v>0</v>
      </c>
      <c r="P166" s="18"/>
      <c r="Q166" s="18">
        <f>발주발송관리!BB166</f>
        <v>0</v>
      </c>
      <c r="S166" s="20" t="str">
        <f t="shared" si="5"/>
        <v/>
      </c>
      <c r="T166" s="20" t="s">
        <v>275</v>
      </c>
      <c r="U166" s="20" t="s">
        <v>285</v>
      </c>
      <c r="V166" s="25" t="s">
        <v>224</v>
      </c>
      <c r="W166" s="25" t="s">
        <v>224</v>
      </c>
    </row>
    <row r="167" spans="1:23" ht="13.5">
      <c r="A167" s="9" t="s">
        <v>295</v>
      </c>
      <c r="B167" s="9" t="s">
        <v>296</v>
      </c>
      <c r="C167" s="16">
        <f t="shared" si="8"/>
        <v>0</v>
      </c>
      <c r="D167" s="16">
        <f>IFERROR(TRIM(LEFT(발주발송관리!T167,FIND(" ",발주발송관리!T167)-1)),0)</f>
        <v>0</v>
      </c>
      <c r="E167" s="16">
        <f>IFERROR(MID(발주발송관리!T167,FIND(" ",발주발송관리!T167)+1,LEN(발주발송관리!T167)-FIND(" ",발주발송관리!T167)+1),0)</f>
        <v>0</v>
      </c>
      <c r="F167" s="16">
        <f>발주발송관리!W167</f>
        <v>0</v>
      </c>
      <c r="G167" s="11">
        <f>발주발송관리!Y167</f>
        <v>0</v>
      </c>
      <c r="H167" s="17">
        <f>발주발송관리!Z167/1.6</f>
        <v>0</v>
      </c>
      <c r="I167" s="10"/>
      <c r="J167" s="10"/>
      <c r="K167" s="11"/>
      <c r="L167" s="11"/>
      <c r="M167" s="16">
        <f>IF(발주발송관리!M167=R167,0,발주발송관리!M167&amp;T167&amp;S167&amp;U167)</f>
        <v>0</v>
      </c>
      <c r="N167" s="16">
        <f>발주발송관리!AZ167</f>
        <v>0</v>
      </c>
      <c r="O167" s="16">
        <f>발주발송관리!AW167</f>
        <v>0</v>
      </c>
      <c r="P167" s="18"/>
      <c r="Q167" s="18">
        <f>발주발송관리!BB167</f>
        <v>0</v>
      </c>
      <c r="S167" s="20" t="str">
        <f t="shared" si="5"/>
        <v/>
      </c>
      <c r="T167" s="20" t="s">
        <v>275</v>
      </c>
      <c r="U167" s="20" t="s">
        <v>285</v>
      </c>
      <c r="V167" s="25" t="s">
        <v>225</v>
      </c>
      <c r="W167" s="25" t="s">
        <v>225</v>
      </c>
    </row>
    <row r="168" spans="1:23" ht="13.5">
      <c r="A168" s="9" t="s">
        <v>295</v>
      </c>
      <c r="B168" s="9" t="s">
        <v>296</v>
      </c>
      <c r="C168" s="16">
        <f t="shared" si="8"/>
        <v>0</v>
      </c>
      <c r="D168" s="16">
        <f>IFERROR(TRIM(LEFT(발주발송관리!T168,FIND(" ",발주발송관리!T168)-1)),0)</f>
        <v>0</v>
      </c>
      <c r="E168" s="16">
        <f>IFERROR(MID(발주발송관리!T168,FIND(" ",발주발송관리!T168)+1,LEN(발주발송관리!T168)-FIND(" ",발주발송관리!T168)+1),0)</f>
        <v>0</v>
      </c>
      <c r="F168" s="16">
        <f>발주발송관리!W168</f>
        <v>0</v>
      </c>
      <c r="G168" s="11">
        <f>발주발송관리!Y168</f>
        <v>0</v>
      </c>
      <c r="H168" s="17">
        <f>발주발송관리!Z168/1.6</f>
        <v>0</v>
      </c>
      <c r="I168" s="10"/>
      <c r="J168" s="10"/>
      <c r="K168" s="11"/>
      <c r="L168" s="11"/>
      <c r="M168" s="16">
        <f>IF(발주발송관리!M168=R168,0,발주발송관리!M168&amp;T168&amp;S168&amp;U168)</f>
        <v>0</v>
      </c>
      <c r="N168" s="16">
        <f>발주발송관리!AZ168</f>
        <v>0</v>
      </c>
      <c r="O168" s="16">
        <f>발주발송관리!AW168</f>
        <v>0</v>
      </c>
      <c r="P168" s="18"/>
      <c r="Q168" s="18">
        <f>발주발송관리!BB168</f>
        <v>0</v>
      </c>
      <c r="S168" s="20" t="str">
        <f t="shared" si="5"/>
        <v/>
      </c>
      <c r="T168" s="20" t="s">
        <v>275</v>
      </c>
      <c r="U168" s="20" t="s">
        <v>285</v>
      </c>
      <c r="V168" s="25" t="s">
        <v>226</v>
      </c>
      <c r="W168" s="25" t="s">
        <v>226</v>
      </c>
    </row>
    <row r="169" spans="1:23" ht="13.5">
      <c r="A169" s="9" t="s">
        <v>295</v>
      </c>
      <c r="B169" s="9" t="s">
        <v>296</v>
      </c>
      <c r="C169" s="16">
        <f t="shared" si="8"/>
        <v>0</v>
      </c>
      <c r="D169" s="16">
        <f>IFERROR(TRIM(LEFT(발주발송관리!T169,FIND(" ",발주발송관리!T169)-1)),0)</f>
        <v>0</v>
      </c>
      <c r="E169" s="16">
        <f>IFERROR(MID(발주발송관리!T169,FIND(" ",발주발송관리!T169)+1,LEN(발주발송관리!T169)-FIND(" ",발주발송관리!T169)+1),0)</f>
        <v>0</v>
      </c>
      <c r="F169" s="16">
        <f>발주발송관리!W169</f>
        <v>0</v>
      </c>
      <c r="G169" s="11">
        <f>발주발송관리!Y169</f>
        <v>0</v>
      </c>
      <c r="H169" s="17">
        <f>발주발송관리!Z169/1.6</f>
        <v>0</v>
      </c>
      <c r="I169" s="10"/>
      <c r="J169" s="10"/>
      <c r="K169" s="11"/>
      <c r="L169" s="11"/>
      <c r="M169" s="16">
        <f>IF(발주발송관리!M169=R169,0,발주발송관리!M169&amp;T169&amp;S169&amp;U169)</f>
        <v>0</v>
      </c>
      <c r="N169" s="16">
        <f>발주발송관리!AZ169</f>
        <v>0</v>
      </c>
      <c r="O169" s="16">
        <f>발주발송관리!AW169</f>
        <v>0</v>
      </c>
      <c r="P169" s="18"/>
      <c r="Q169" s="18">
        <f>발주발송관리!BB169</f>
        <v>0</v>
      </c>
      <c r="S169" s="20" t="str">
        <f t="shared" si="5"/>
        <v/>
      </c>
      <c r="T169" s="20" t="s">
        <v>275</v>
      </c>
      <c r="U169" s="20" t="s">
        <v>285</v>
      </c>
      <c r="V169" s="25" t="s">
        <v>227</v>
      </c>
      <c r="W169" s="25" t="s">
        <v>227</v>
      </c>
    </row>
    <row r="170" spans="1:23" ht="13.5">
      <c r="A170" s="9" t="s">
        <v>295</v>
      </c>
      <c r="B170" s="9" t="s">
        <v>296</v>
      </c>
      <c r="C170" s="16">
        <f t="shared" si="8"/>
        <v>0</v>
      </c>
      <c r="D170" s="16">
        <f>IFERROR(TRIM(LEFT(발주발송관리!T170,FIND(" ",발주발송관리!T170)-1)),0)</f>
        <v>0</v>
      </c>
      <c r="E170" s="16">
        <f>IFERROR(MID(발주발송관리!T170,FIND(" ",발주발송관리!T170)+1,LEN(발주발송관리!T170)-FIND(" ",발주발송관리!T170)+1),0)</f>
        <v>0</v>
      </c>
      <c r="F170" s="16">
        <f>발주발송관리!W170</f>
        <v>0</v>
      </c>
      <c r="G170" s="11">
        <f>발주발송관리!Y170</f>
        <v>0</v>
      </c>
      <c r="H170" s="17">
        <f>발주발송관리!Z170/1.6</f>
        <v>0</v>
      </c>
      <c r="I170" s="10"/>
      <c r="J170" s="10"/>
      <c r="K170" s="11"/>
      <c r="L170" s="11"/>
      <c r="M170" s="16">
        <f>IF(발주발송관리!M170=R170,0,발주발송관리!M170&amp;T170&amp;S170&amp;U170)</f>
        <v>0</v>
      </c>
      <c r="N170" s="16">
        <f>발주발송관리!AZ170</f>
        <v>0</v>
      </c>
      <c r="O170" s="16">
        <f>발주발송관리!AW170</f>
        <v>0</v>
      </c>
      <c r="P170" s="18"/>
      <c r="Q170" s="18">
        <f>발주발송관리!BB170</f>
        <v>0</v>
      </c>
      <c r="S170" s="20" t="str">
        <f t="shared" si="5"/>
        <v/>
      </c>
      <c r="T170" s="20" t="s">
        <v>275</v>
      </c>
      <c r="U170" s="20" t="s">
        <v>285</v>
      </c>
      <c r="V170" s="25" t="s">
        <v>228</v>
      </c>
      <c r="W170" s="25" t="s">
        <v>228</v>
      </c>
    </row>
    <row r="171" spans="1:23" ht="13.5">
      <c r="A171" s="9" t="s">
        <v>295</v>
      </c>
      <c r="B171" s="9" t="s">
        <v>296</v>
      </c>
      <c r="C171" s="16">
        <f t="shared" si="8"/>
        <v>0</v>
      </c>
      <c r="D171" s="16">
        <f>IFERROR(TRIM(LEFT(발주발송관리!T171,FIND(" ",발주발송관리!T171)-1)),0)</f>
        <v>0</v>
      </c>
      <c r="E171" s="16">
        <f>IFERROR(MID(발주발송관리!T171,FIND(" ",발주발송관리!T171)+1,LEN(발주발송관리!T171)-FIND(" ",발주발송관리!T171)+1),0)</f>
        <v>0</v>
      </c>
      <c r="F171" s="16">
        <f>발주발송관리!W171</f>
        <v>0</v>
      </c>
      <c r="G171" s="11">
        <f>발주발송관리!Y171</f>
        <v>0</v>
      </c>
      <c r="H171" s="17">
        <f>발주발송관리!Z171/1.6</f>
        <v>0</v>
      </c>
      <c r="I171" s="10"/>
      <c r="J171" s="10"/>
      <c r="K171" s="11"/>
      <c r="L171" s="11"/>
      <c r="M171" s="16">
        <f>IF(발주발송관리!M171=R171,0,발주발송관리!M171&amp;T171&amp;S171&amp;U171)</f>
        <v>0</v>
      </c>
      <c r="N171" s="16">
        <f>발주발송관리!AZ171</f>
        <v>0</v>
      </c>
      <c r="O171" s="16">
        <f>발주발송관리!AW171</f>
        <v>0</v>
      </c>
      <c r="P171" s="18"/>
      <c r="Q171" s="18">
        <f>발주발송관리!BB171</f>
        <v>0</v>
      </c>
      <c r="S171" s="20" t="str">
        <f t="shared" si="5"/>
        <v/>
      </c>
      <c r="T171" s="20" t="s">
        <v>275</v>
      </c>
      <c r="U171" s="20" t="s">
        <v>285</v>
      </c>
      <c r="V171" s="25" t="s">
        <v>229</v>
      </c>
      <c r="W171" s="25" t="s">
        <v>229</v>
      </c>
    </row>
    <row r="172" spans="1:23" ht="13.5">
      <c r="A172" s="9" t="s">
        <v>295</v>
      </c>
      <c r="B172" s="9" t="s">
        <v>296</v>
      </c>
      <c r="C172" s="16">
        <f t="shared" si="8"/>
        <v>0</v>
      </c>
      <c r="D172" s="16">
        <f>IFERROR(TRIM(LEFT(발주발송관리!T172,FIND(" ",발주발송관리!T172)-1)),0)</f>
        <v>0</v>
      </c>
      <c r="E172" s="16">
        <f>IFERROR(MID(발주발송관리!T172,FIND(" ",발주발송관리!T172)+1,LEN(발주발송관리!T172)-FIND(" ",발주발송관리!T172)+1),0)</f>
        <v>0</v>
      </c>
      <c r="F172" s="16">
        <f>발주발송관리!W172</f>
        <v>0</v>
      </c>
      <c r="G172" s="11">
        <f>발주발송관리!Y172</f>
        <v>0</v>
      </c>
      <c r="H172" s="17">
        <f>발주발송관리!Z172/1.6</f>
        <v>0</v>
      </c>
      <c r="I172" s="10"/>
      <c r="J172" s="10"/>
      <c r="K172" s="11"/>
      <c r="L172" s="11"/>
      <c r="M172" s="16">
        <f>IF(발주발송관리!M172=R172,0,발주발송관리!M172&amp;T172&amp;S172&amp;U172)</f>
        <v>0</v>
      </c>
      <c r="N172" s="16">
        <f>발주발송관리!AZ172</f>
        <v>0</v>
      </c>
      <c r="O172" s="16">
        <f>발주발송관리!AW172</f>
        <v>0</v>
      </c>
      <c r="P172" s="18"/>
      <c r="Q172" s="18">
        <f>발주발송관리!BB172</f>
        <v>0</v>
      </c>
      <c r="S172" s="20" t="str">
        <f t="shared" si="5"/>
        <v/>
      </c>
      <c r="T172" s="20" t="s">
        <v>275</v>
      </c>
      <c r="U172" s="20" t="s">
        <v>285</v>
      </c>
      <c r="V172" s="25" t="s">
        <v>230</v>
      </c>
      <c r="W172" s="25" t="s">
        <v>230</v>
      </c>
    </row>
    <row r="173" spans="1:23" ht="13.5">
      <c r="A173" s="9" t="s">
        <v>295</v>
      </c>
      <c r="B173" s="9" t="s">
        <v>296</v>
      </c>
      <c r="C173" s="16">
        <f t="shared" si="8"/>
        <v>0</v>
      </c>
      <c r="D173" s="16">
        <f>IFERROR(TRIM(LEFT(발주발송관리!T173,FIND(" ",발주발송관리!T173)-1)),0)</f>
        <v>0</v>
      </c>
      <c r="E173" s="16">
        <f>IFERROR(MID(발주발송관리!T173,FIND(" ",발주발송관리!T173)+1,LEN(발주발송관리!T173)-FIND(" ",발주발송관리!T173)+1),0)</f>
        <v>0</v>
      </c>
      <c r="F173" s="16">
        <f>발주발송관리!W173</f>
        <v>0</v>
      </c>
      <c r="G173" s="11">
        <f>발주발송관리!Y173</f>
        <v>0</v>
      </c>
      <c r="H173" s="17">
        <f>발주발송관리!Z173/1.6</f>
        <v>0</v>
      </c>
      <c r="I173" s="10"/>
      <c r="J173" s="10"/>
      <c r="K173" s="11"/>
      <c r="L173" s="11"/>
      <c r="M173" s="16">
        <f>IF(발주발송관리!M173=R173,0,발주발송관리!M173&amp;T173&amp;S173&amp;U173)</f>
        <v>0</v>
      </c>
      <c r="N173" s="16">
        <f>발주발송관리!AZ173</f>
        <v>0</v>
      </c>
      <c r="O173" s="16">
        <f>발주발송관리!AW173</f>
        <v>0</v>
      </c>
      <c r="P173" s="18"/>
      <c r="Q173" s="18">
        <f>발주발송관리!BB173</f>
        <v>0</v>
      </c>
      <c r="S173" s="20" t="str">
        <f t="shared" si="5"/>
        <v/>
      </c>
      <c r="T173" s="20" t="s">
        <v>275</v>
      </c>
      <c r="U173" s="20" t="s">
        <v>285</v>
      </c>
      <c r="V173" s="25" t="s">
        <v>231</v>
      </c>
      <c r="W173" s="25" t="s">
        <v>231</v>
      </c>
    </row>
    <row r="174" spans="1:23" ht="13.5">
      <c r="A174" s="9" t="s">
        <v>295</v>
      </c>
      <c r="B174" s="9" t="s">
        <v>296</v>
      </c>
      <c r="C174" s="16">
        <f t="shared" si="8"/>
        <v>0</v>
      </c>
      <c r="D174" s="16">
        <f>IFERROR(TRIM(LEFT(발주발송관리!T174,FIND(" ",발주발송관리!T174)-1)),0)</f>
        <v>0</v>
      </c>
      <c r="E174" s="16">
        <f>IFERROR(MID(발주발송관리!T174,FIND(" ",발주발송관리!T174)+1,LEN(발주발송관리!T174)-FIND(" ",발주발송관리!T174)+1),0)</f>
        <v>0</v>
      </c>
      <c r="F174" s="16">
        <f>발주발송관리!W174</f>
        <v>0</v>
      </c>
      <c r="G174" s="11">
        <f>발주발송관리!Y174</f>
        <v>0</v>
      </c>
      <c r="H174" s="17">
        <f>발주발송관리!Z174/1.6</f>
        <v>0</v>
      </c>
      <c r="I174" s="10"/>
      <c r="J174" s="10"/>
      <c r="K174" s="11"/>
      <c r="L174" s="11"/>
      <c r="M174" s="16">
        <f>IF(발주발송관리!M174=R174,0,발주발송관리!M174&amp;T174&amp;S174&amp;U174)</f>
        <v>0</v>
      </c>
      <c r="N174" s="16">
        <f>발주발송관리!AZ174</f>
        <v>0</v>
      </c>
      <c r="O174" s="16">
        <f>발주발송관리!AW174</f>
        <v>0</v>
      </c>
      <c r="P174" s="18"/>
      <c r="Q174" s="18">
        <f>발주발송관리!BB174</f>
        <v>0</v>
      </c>
      <c r="S174" s="20" t="str">
        <f t="shared" si="5"/>
        <v/>
      </c>
      <c r="T174" s="20" t="s">
        <v>275</v>
      </c>
      <c r="U174" s="20" t="s">
        <v>285</v>
      </c>
      <c r="V174" s="25" t="s">
        <v>232</v>
      </c>
      <c r="W174" s="25" t="s">
        <v>232</v>
      </c>
    </row>
    <row r="175" spans="1:23" ht="13.5">
      <c r="A175" s="9" t="s">
        <v>295</v>
      </c>
      <c r="B175" s="9" t="s">
        <v>296</v>
      </c>
      <c r="C175" s="16">
        <f t="shared" si="8"/>
        <v>0</v>
      </c>
      <c r="D175" s="16">
        <f>IFERROR(TRIM(LEFT(발주발송관리!T175,FIND(" ",발주발송관리!T175)-1)),0)</f>
        <v>0</v>
      </c>
      <c r="E175" s="16">
        <f>IFERROR(MID(발주발송관리!T175,FIND(" ",발주발송관리!T175)+1,LEN(발주발송관리!T175)-FIND(" ",발주발송관리!T175)+1),0)</f>
        <v>0</v>
      </c>
      <c r="F175" s="16">
        <f>발주발송관리!W175</f>
        <v>0</v>
      </c>
      <c r="G175" s="11">
        <f>발주발송관리!Y175</f>
        <v>0</v>
      </c>
      <c r="H175" s="17">
        <f>발주발송관리!Z175/1.6</f>
        <v>0</v>
      </c>
      <c r="I175" s="10"/>
      <c r="J175" s="10"/>
      <c r="K175" s="11"/>
      <c r="L175" s="11"/>
      <c r="M175" s="16">
        <f>IF(발주발송관리!M175=R175,0,발주발송관리!M175&amp;T175&amp;S175&amp;U175)</f>
        <v>0</v>
      </c>
      <c r="N175" s="16">
        <f>발주발송관리!AZ175</f>
        <v>0</v>
      </c>
      <c r="O175" s="16">
        <f>발주발송관리!AW175</f>
        <v>0</v>
      </c>
      <c r="P175" s="18"/>
      <c r="Q175" s="18">
        <f>발주발송관리!BB175</f>
        <v>0</v>
      </c>
      <c r="S175" s="20" t="str">
        <f t="shared" si="5"/>
        <v/>
      </c>
      <c r="T175" s="20" t="s">
        <v>275</v>
      </c>
      <c r="U175" s="20" t="s">
        <v>285</v>
      </c>
      <c r="V175" s="25" t="s">
        <v>233</v>
      </c>
      <c r="W175" s="25" t="s">
        <v>233</v>
      </c>
    </row>
    <row r="176" spans="1:23" ht="13.5">
      <c r="A176" s="9" t="s">
        <v>295</v>
      </c>
      <c r="B176" s="9" t="s">
        <v>296</v>
      </c>
      <c r="C176" s="16">
        <f t="shared" si="8"/>
        <v>0</v>
      </c>
      <c r="D176" s="16">
        <f>IFERROR(TRIM(LEFT(발주발송관리!T176,FIND(" ",발주발송관리!T176)-1)),0)</f>
        <v>0</v>
      </c>
      <c r="E176" s="16">
        <f>IFERROR(MID(발주발송관리!T176,FIND(" ",발주발송관리!T176)+1,LEN(발주발송관리!T176)-FIND(" ",발주발송관리!T176)+1),0)</f>
        <v>0</v>
      </c>
      <c r="F176" s="16">
        <f>발주발송관리!W176</f>
        <v>0</v>
      </c>
      <c r="G176" s="11">
        <f>발주발송관리!Y176</f>
        <v>0</v>
      </c>
      <c r="H176" s="17">
        <f>발주발송관리!Z176/1.6</f>
        <v>0</v>
      </c>
      <c r="I176" s="10"/>
      <c r="J176" s="10"/>
      <c r="K176" s="11"/>
      <c r="L176" s="11"/>
      <c r="M176" s="16">
        <f>IF(발주발송관리!M176=R176,0,발주발송관리!M176&amp;T176&amp;S176&amp;U176)</f>
        <v>0</v>
      </c>
      <c r="N176" s="16">
        <f>발주발송관리!AZ176</f>
        <v>0</v>
      </c>
      <c r="O176" s="16">
        <f>발주발송관리!AW176</f>
        <v>0</v>
      </c>
      <c r="P176" s="18"/>
      <c r="Q176" s="18">
        <f>발주발송관리!BB176</f>
        <v>0</v>
      </c>
      <c r="S176" s="20" t="str">
        <f t="shared" si="5"/>
        <v/>
      </c>
      <c r="T176" s="20" t="s">
        <v>275</v>
      </c>
      <c r="U176" s="20" t="s">
        <v>285</v>
      </c>
      <c r="V176" s="25" t="s">
        <v>234</v>
      </c>
      <c r="W176" s="25" t="s">
        <v>234</v>
      </c>
    </row>
    <row r="177" spans="1:23" ht="13.5">
      <c r="A177" s="9" t="s">
        <v>295</v>
      </c>
      <c r="B177" s="9" t="s">
        <v>296</v>
      </c>
      <c r="C177" s="16">
        <f t="shared" si="8"/>
        <v>0</v>
      </c>
      <c r="D177" s="16">
        <f>IFERROR(TRIM(LEFT(발주발송관리!T177,FIND(" ",발주발송관리!T177)-1)),0)</f>
        <v>0</v>
      </c>
      <c r="E177" s="16">
        <f>IFERROR(MID(발주발송관리!T177,FIND(" ",발주발송관리!T177)+1,LEN(발주발송관리!T177)-FIND(" ",발주발송관리!T177)+1),0)</f>
        <v>0</v>
      </c>
      <c r="F177" s="16">
        <f>발주발송관리!W177</f>
        <v>0</v>
      </c>
      <c r="G177" s="11">
        <f>발주발송관리!Y177</f>
        <v>0</v>
      </c>
      <c r="H177" s="17">
        <f>발주발송관리!Z177/1.6</f>
        <v>0</v>
      </c>
      <c r="I177" s="10"/>
      <c r="J177" s="10"/>
      <c r="K177" s="11"/>
      <c r="L177" s="11"/>
      <c r="M177" s="16">
        <f>IF(발주발송관리!M177=R177,0,발주발송관리!M177&amp;T177&amp;S177&amp;U177)</f>
        <v>0</v>
      </c>
      <c r="N177" s="16">
        <f>발주발송관리!AZ177</f>
        <v>0</v>
      </c>
      <c r="O177" s="16">
        <f>발주발송관리!AW177</f>
        <v>0</v>
      </c>
      <c r="P177" s="18"/>
      <c r="Q177" s="18">
        <f>발주발송관리!BB177</f>
        <v>0</v>
      </c>
      <c r="S177" s="20" t="str">
        <f t="shared" si="5"/>
        <v/>
      </c>
      <c r="T177" s="20" t="s">
        <v>275</v>
      </c>
      <c r="U177" s="20" t="s">
        <v>285</v>
      </c>
      <c r="V177" s="25" t="s">
        <v>235</v>
      </c>
      <c r="W177" s="25" t="s">
        <v>235</v>
      </c>
    </row>
    <row r="178" spans="1:23" ht="13.5">
      <c r="A178" s="9" t="s">
        <v>295</v>
      </c>
      <c r="B178" s="9" t="s">
        <v>296</v>
      </c>
      <c r="C178" s="16">
        <f t="shared" si="8"/>
        <v>0</v>
      </c>
      <c r="D178" s="16">
        <f>IFERROR(TRIM(LEFT(발주발송관리!T178,FIND(" ",발주발송관리!T178)-1)),0)</f>
        <v>0</v>
      </c>
      <c r="E178" s="16">
        <f>IFERROR(MID(발주발송관리!T178,FIND(" ",발주발송관리!T178)+1,LEN(발주발송관리!T178)-FIND(" ",발주발송관리!T178)+1),0)</f>
        <v>0</v>
      </c>
      <c r="F178" s="16">
        <f>발주발송관리!W178</f>
        <v>0</v>
      </c>
      <c r="G178" s="11">
        <f>발주발송관리!Y178</f>
        <v>0</v>
      </c>
      <c r="H178" s="17">
        <f>발주발송관리!Z178/1.6</f>
        <v>0</v>
      </c>
      <c r="I178" s="10"/>
      <c r="J178" s="10"/>
      <c r="K178" s="11"/>
      <c r="L178" s="11"/>
      <c r="M178" s="16">
        <f>IF(발주발송관리!M178=R178,0,발주발송관리!M178&amp;T178&amp;S178&amp;U178)</f>
        <v>0</v>
      </c>
      <c r="N178" s="16">
        <f>발주발송관리!AZ178</f>
        <v>0</v>
      </c>
      <c r="O178" s="16">
        <f>발주발송관리!AW178</f>
        <v>0</v>
      </c>
      <c r="P178" s="18"/>
      <c r="Q178" s="18">
        <f>발주발송관리!BB178</f>
        <v>0</v>
      </c>
      <c r="S178" s="20" t="str">
        <f t="shared" si="5"/>
        <v/>
      </c>
      <c r="T178" s="20" t="s">
        <v>275</v>
      </c>
      <c r="U178" s="20" t="s">
        <v>285</v>
      </c>
      <c r="V178" s="25" t="s">
        <v>236</v>
      </c>
      <c r="W178" s="25" t="s">
        <v>236</v>
      </c>
    </row>
    <row r="179" spans="1:23" ht="13.5">
      <c r="A179" s="9" t="s">
        <v>295</v>
      </c>
      <c r="B179" s="9" t="s">
        <v>296</v>
      </c>
      <c r="C179" s="16">
        <f t="shared" si="8"/>
        <v>0</v>
      </c>
      <c r="D179" s="16">
        <f>IFERROR(TRIM(LEFT(발주발송관리!T179,FIND(" ",발주발송관리!T179)-1)),0)</f>
        <v>0</v>
      </c>
      <c r="E179" s="16">
        <f>IFERROR(MID(발주발송관리!T179,FIND(" ",발주발송관리!T179)+1,LEN(발주발송관리!T179)-FIND(" ",발주발송관리!T179)+1),0)</f>
        <v>0</v>
      </c>
      <c r="F179" s="16">
        <f>발주발송관리!W179</f>
        <v>0</v>
      </c>
      <c r="G179" s="11">
        <f>발주발송관리!Y179</f>
        <v>0</v>
      </c>
      <c r="H179" s="17">
        <f>발주발송관리!Z179/1.6</f>
        <v>0</v>
      </c>
      <c r="I179" s="10"/>
      <c r="J179" s="10"/>
      <c r="K179" s="11"/>
      <c r="L179" s="11"/>
      <c r="M179" s="16">
        <f>IF(발주발송관리!M179=R179,0,발주발송관리!M179&amp;T179&amp;S179&amp;U179)</f>
        <v>0</v>
      </c>
      <c r="N179" s="16">
        <f>발주발송관리!AZ179</f>
        <v>0</v>
      </c>
      <c r="O179" s="16">
        <f>발주발송관리!AW179</f>
        <v>0</v>
      </c>
      <c r="P179" s="18"/>
      <c r="Q179" s="18">
        <f>발주발송관리!BB179</f>
        <v>0</v>
      </c>
      <c r="S179" s="20" t="str">
        <f t="shared" si="5"/>
        <v/>
      </c>
      <c r="T179" s="20" t="s">
        <v>275</v>
      </c>
      <c r="U179" s="20" t="s">
        <v>285</v>
      </c>
      <c r="V179" s="25" t="s">
        <v>237</v>
      </c>
      <c r="W179" s="25" t="s">
        <v>237</v>
      </c>
    </row>
    <row r="180" spans="1:23" ht="13.5">
      <c r="A180" s="9" t="s">
        <v>295</v>
      </c>
      <c r="B180" s="9" t="s">
        <v>296</v>
      </c>
      <c r="C180" s="16">
        <f t="shared" si="8"/>
        <v>0</v>
      </c>
      <c r="D180" s="16">
        <f>IFERROR(TRIM(LEFT(발주발송관리!T180,FIND(" ",발주발송관리!T180)-1)),0)</f>
        <v>0</v>
      </c>
      <c r="E180" s="16">
        <f>IFERROR(MID(발주발송관리!T180,FIND(" ",발주발송관리!T180)+1,LEN(발주발송관리!T180)-FIND(" ",발주발송관리!T180)+1),0)</f>
        <v>0</v>
      </c>
      <c r="F180" s="16">
        <f>발주발송관리!W180</f>
        <v>0</v>
      </c>
      <c r="G180" s="11">
        <f>발주발송관리!Y180</f>
        <v>0</v>
      </c>
      <c r="H180" s="17">
        <f>발주발송관리!Z180/1.6</f>
        <v>0</v>
      </c>
      <c r="I180" s="10"/>
      <c r="J180" s="10"/>
      <c r="K180" s="11"/>
      <c r="L180" s="11"/>
      <c r="M180" s="16">
        <f>IF(발주발송관리!M180=R180,0,발주발송관리!M180&amp;T180&amp;S180&amp;U180)</f>
        <v>0</v>
      </c>
      <c r="N180" s="16">
        <f>발주발송관리!AZ180</f>
        <v>0</v>
      </c>
      <c r="O180" s="16">
        <f>발주발송관리!AW180</f>
        <v>0</v>
      </c>
      <c r="P180" s="18"/>
      <c r="Q180" s="18">
        <f>발주발송관리!BB180</f>
        <v>0</v>
      </c>
      <c r="S180" s="20" t="str">
        <f t="shared" si="5"/>
        <v/>
      </c>
      <c r="T180" s="20" t="s">
        <v>275</v>
      </c>
      <c r="U180" s="20" t="s">
        <v>285</v>
      </c>
      <c r="V180" s="25" t="s">
        <v>238</v>
      </c>
      <c r="W180" s="25" t="s">
        <v>238</v>
      </c>
    </row>
    <row r="181" spans="1:23" ht="13.5">
      <c r="A181" s="9" t="s">
        <v>295</v>
      </c>
      <c r="B181" s="9" t="s">
        <v>296</v>
      </c>
      <c r="C181" s="16">
        <f t="shared" si="8"/>
        <v>0</v>
      </c>
      <c r="D181" s="16">
        <f>IFERROR(TRIM(LEFT(발주발송관리!T181,FIND(" ",발주발송관리!T181)-1)),0)</f>
        <v>0</v>
      </c>
      <c r="E181" s="16">
        <f>IFERROR(MID(발주발송관리!T181,FIND(" ",발주발송관리!T181)+1,LEN(발주발송관리!T181)-FIND(" ",발주발송관리!T181)+1),0)</f>
        <v>0</v>
      </c>
      <c r="F181" s="16">
        <f>발주발송관리!W181</f>
        <v>0</v>
      </c>
      <c r="G181" s="11">
        <f>발주발송관리!Y181</f>
        <v>0</v>
      </c>
      <c r="H181" s="17">
        <f>발주발송관리!Z181/1.6</f>
        <v>0</v>
      </c>
      <c r="I181" s="10"/>
      <c r="J181" s="10"/>
      <c r="K181" s="11"/>
      <c r="L181" s="11"/>
      <c r="M181" s="16">
        <f>IF(발주발송관리!M181=R181,0,발주발송관리!M181&amp;T181&amp;S181&amp;U181)</f>
        <v>0</v>
      </c>
      <c r="N181" s="16">
        <f>발주발송관리!AZ181</f>
        <v>0</v>
      </c>
      <c r="O181" s="16">
        <f>발주발송관리!AW181</f>
        <v>0</v>
      </c>
      <c r="P181" s="18"/>
      <c r="Q181" s="18">
        <f>발주발송관리!BB181</f>
        <v>0</v>
      </c>
      <c r="S181" s="20" t="str">
        <f t="shared" si="5"/>
        <v/>
      </c>
      <c r="T181" s="20" t="s">
        <v>275</v>
      </c>
      <c r="U181" s="20" t="s">
        <v>285</v>
      </c>
      <c r="V181" s="25" t="s">
        <v>239</v>
      </c>
      <c r="W181" s="25" t="s">
        <v>239</v>
      </c>
    </row>
    <row r="182" spans="1:23" ht="13.5">
      <c r="A182" s="9" t="s">
        <v>295</v>
      </c>
      <c r="B182" s="9" t="s">
        <v>296</v>
      </c>
      <c r="C182" s="16">
        <f t="shared" si="8"/>
        <v>0</v>
      </c>
      <c r="D182" s="16">
        <f>IFERROR(TRIM(LEFT(발주발송관리!T182,FIND(" ",발주발송관리!T182)-1)),0)</f>
        <v>0</v>
      </c>
      <c r="E182" s="16">
        <f>IFERROR(MID(발주발송관리!T182,FIND(" ",발주발송관리!T182)+1,LEN(발주발송관리!T182)-FIND(" ",발주발송관리!T182)+1),0)</f>
        <v>0</v>
      </c>
      <c r="F182" s="16">
        <f>발주발송관리!W182</f>
        <v>0</v>
      </c>
      <c r="G182" s="11">
        <f>발주발송관리!Y182</f>
        <v>0</v>
      </c>
      <c r="H182" s="17">
        <f>발주발송관리!Z182/1.6</f>
        <v>0</v>
      </c>
      <c r="I182" s="10"/>
      <c r="J182" s="10"/>
      <c r="K182" s="11"/>
      <c r="L182" s="11"/>
      <c r="M182" s="16">
        <f>IF(발주발송관리!M182=R182,0,발주발송관리!M182&amp;T182&amp;S182&amp;U182)</f>
        <v>0</v>
      </c>
      <c r="N182" s="16">
        <f>발주발송관리!AZ182</f>
        <v>0</v>
      </c>
      <c r="O182" s="16">
        <f>발주발송관리!AW182</f>
        <v>0</v>
      </c>
      <c r="P182" s="18"/>
      <c r="Q182" s="18">
        <f>발주발송관리!BB182</f>
        <v>0</v>
      </c>
      <c r="S182" s="20" t="str">
        <f t="shared" si="5"/>
        <v/>
      </c>
      <c r="T182" s="20" t="s">
        <v>275</v>
      </c>
      <c r="U182" s="20" t="s">
        <v>285</v>
      </c>
      <c r="V182" s="25" t="s">
        <v>240</v>
      </c>
      <c r="W182" s="25" t="s">
        <v>240</v>
      </c>
    </row>
    <row r="183" spans="1:23" ht="13.5">
      <c r="A183" s="9" t="s">
        <v>295</v>
      </c>
      <c r="B183" s="9" t="s">
        <v>296</v>
      </c>
      <c r="C183" s="16">
        <f t="shared" si="8"/>
        <v>0</v>
      </c>
      <c r="D183" s="16">
        <f>IFERROR(TRIM(LEFT(발주발송관리!T183,FIND(" ",발주발송관리!T183)-1)),0)</f>
        <v>0</v>
      </c>
      <c r="E183" s="16">
        <f>IFERROR(MID(발주발송관리!T183,FIND(" ",발주발송관리!T183)+1,LEN(발주발송관리!T183)-FIND(" ",발주발송관리!T183)+1),0)</f>
        <v>0</v>
      </c>
      <c r="F183" s="16">
        <f>발주발송관리!W183</f>
        <v>0</v>
      </c>
      <c r="G183" s="11">
        <f>발주발송관리!Y183</f>
        <v>0</v>
      </c>
      <c r="H183" s="17">
        <f>발주발송관리!Z183/1.6</f>
        <v>0</v>
      </c>
      <c r="I183" s="10"/>
      <c r="J183" s="10"/>
      <c r="K183" s="11"/>
      <c r="L183" s="11"/>
      <c r="M183" s="16">
        <f>IF(발주발송관리!M183=R183,0,발주발송관리!M183&amp;T183&amp;S183&amp;U183)</f>
        <v>0</v>
      </c>
      <c r="N183" s="16">
        <f>발주발송관리!AZ183</f>
        <v>0</v>
      </c>
      <c r="O183" s="16">
        <f>발주발송관리!AW183</f>
        <v>0</v>
      </c>
      <c r="P183" s="18"/>
      <c r="Q183" s="18">
        <f>발주발송관리!BB183</f>
        <v>0</v>
      </c>
      <c r="S183" s="20" t="str">
        <f t="shared" si="5"/>
        <v/>
      </c>
      <c r="T183" s="20" t="s">
        <v>275</v>
      </c>
      <c r="U183" s="20" t="s">
        <v>285</v>
      </c>
      <c r="V183" s="25" t="s">
        <v>241</v>
      </c>
      <c r="W183" s="25" t="s">
        <v>241</v>
      </c>
    </row>
    <row r="184" spans="1:23" ht="13.5">
      <c r="A184" s="9" t="s">
        <v>295</v>
      </c>
      <c r="B184" s="9" t="s">
        <v>296</v>
      </c>
      <c r="C184" s="16">
        <f t="shared" si="8"/>
        <v>0</v>
      </c>
      <c r="D184" s="16">
        <f>IFERROR(TRIM(LEFT(발주발송관리!T184,FIND(" ",발주발송관리!T184)-1)),0)</f>
        <v>0</v>
      </c>
      <c r="E184" s="16">
        <f>IFERROR(MID(발주발송관리!T184,FIND(" ",발주발송관리!T184)+1,LEN(발주발송관리!T184)-FIND(" ",발주발송관리!T184)+1),0)</f>
        <v>0</v>
      </c>
      <c r="F184" s="16">
        <f>발주발송관리!W184</f>
        <v>0</v>
      </c>
      <c r="G184" s="11">
        <f>발주발송관리!Y184</f>
        <v>0</v>
      </c>
      <c r="H184" s="17">
        <f>발주발송관리!Z184/1.6</f>
        <v>0</v>
      </c>
      <c r="I184" s="10"/>
      <c r="J184" s="10"/>
      <c r="K184" s="11"/>
      <c r="L184" s="11"/>
      <c r="M184" s="16">
        <f>IF(발주발송관리!M184=R184,0,발주발송관리!M184&amp;T184&amp;S184&amp;U184)</f>
        <v>0</v>
      </c>
      <c r="N184" s="16">
        <f>발주발송관리!AZ184</f>
        <v>0</v>
      </c>
      <c r="O184" s="16">
        <f>발주발송관리!AW184</f>
        <v>0</v>
      </c>
      <c r="P184" s="18"/>
      <c r="Q184" s="18">
        <f>발주발송관리!BB184</f>
        <v>0</v>
      </c>
      <c r="S184" s="20" t="str">
        <f t="shared" si="5"/>
        <v/>
      </c>
      <c r="T184" s="20" t="s">
        <v>275</v>
      </c>
      <c r="U184" s="20" t="s">
        <v>285</v>
      </c>
      <c r="V184" s="26" t="s">
        <v>287</v>
      </c>
      <c r="W184" s="27" t="s">
        <v>288</v>
      </c>
    </row>
    <row r="185" spans="1:23" ht="13.5">
      <c r="A185" s="9" t="s">
        <v>295</v>
      </c>
      <c r="B185" s="9" t="s">
        <v>296</v>
      </c>
      <c r="C185" s="16">
        <f t="shared" si="8"/>
        <v>0</v>
      </c>
      <c r="D185" s="16">
        <f>IFERROR(TRIM(LEFT(발주발송관리!T185,FIND(" ",발주발송관리!T185)-1)),0)</f>
        <v>0</v>
      </c>
      <c r="E185" s="16">
        <f>IFERROR(MID(발주발송관리!T185,FIND(" ",발주발송관리!T185)+1,LEN(발주발송관리!T185)-FIND(" ",발주발송관리!T185)+1),0)</f>
        <v>0</v>
      </c>
      <c r="F185" s="16">
        <f>발주발송관리!W185</f>
        <v>0</v>
      </c>
      <c r="G185" s="11">
        <f>발주발송관리!Y185</f>
        <v>0</v>
      </c>
      <c r="H185" s="17">
        <f>발주발송관리!Z185/1.6</f>
        <v>0</v>
      </c>
      <c r="I185" s="10"/>
      <c r="J185" s="10"/>
      <c r="K185" s="11"/>
      <c r="L185" s="11"/>
      <c r="M185" s="16">
        <f>IF(발주발송관리!M185=R185,0,발주발송관리!M185&amp;T185&amp;S185&amp;U185)</f>
        <v>0</v>
      </c>
      <c r="N185" s="16">
        <f>발주발송관리!AZ185</f>
        <v>0</v>
      </c>
      <c r="O185" s="16">
        <f>발주발송관리!AW185</f>
        <v>0</v>
      </c>
      <c r="P185" s="18"/>
      <c r="Q185" s="18">
        <f>발주발송관리!BB185</f>
        <v>0</v>
      </c>
      <c r="S185" s="20" t="str">
        <f t="shared" si="5"/>
        <v/>
      </c>
      <c r="T185" s="20" t="s">
        <v>275</v>
      </c>
      <c r="U185" s="20" t="s">
        <v>285</v>
      </c>
      <c r="V185" s="25" t="s">
        <v>243</v>
      </c>
      <c r="W185" s="25" t="s">
        <v>243</v>
      </c>
    </row>
    <row r="186" spans="1:23" ht="13.5">
      <c r="A186" s="9" t="s">
        <v>295</v>
      </c>
      <c r="B186" s="9" t="s">
        <v>296</v>
      </c>
      <c r="C186" s="16">
        <f t="shared" ref="C186:C249" si="9">M186</f>
        <v>0</v>
      </c>
      <c r="D186" s="16">
        <f>IFERROR(TRIM(LEFT(발주발송관리!T186,FIND(" ",발주발송관리!T186)-1)),0)</f>
        <v>0</v>
      </c>
      <c r="E186" s="16">
        <f>IFERROR(MID(발주발송관리!T186,FIND(" ",발주발송관리!T186)+1,LEN(발주발송관리!T186)-FIND(" ",발주발송관리!T186)+1),0)</f>
        <v>0</v>
      </c>
      <c r="F186" s="16">
        <f>발주발송관리!W186</f>
        <v>0</v>
      </c>
      <c r="G186" s="11">
        <f>발주발송관리!Y186</f>
        <v>0</v>
      </c>
      <c r="H186" s="17">
        <f>발주발송관리!Z186/1.6</f>
        <v>0</v>
      </c>
      <c r="I186" s="10"/>
      <c r="J186" s="10"/>
      <c r="K186" s="11"/>
      <c r="L186" s="11"/>
      <c r="M186" s="16">
        <f>IF(발주발송관리!M186=R186,0,발주발송관리!M186&amp;T186&amp;S186&amp;U186)</f>
        <v>0</v>
      </c>
      <c r="N186" s="16">
        <f>발주발송관리!AZ186</f>
        <v>0</v>
      </c>
      <c r="O186" s="16">
        <f>발주발송관리!AW186</f>
        <v>0</v>
      </c>
      <c r="P186" s="18"/>
      <c r="Q186" s="18">
        <f>발주발송관리!BB186</f>
        <v>0</v>
      </c>
      <c r="S186" s="20" t="str">
        <f t="shared" si="5"/>
        <v/>
      </c>
      <c r="T186" s="20" t="s">
        <v>275</v>
      </c>
      <c r="U186" s="20" t="s">
        <v>285</v>
      </c>
      <c r="V186" s="25" t="s">
        <v>244</v>
      </c>
      <c r="W186" s="25" t="s">
        <v>244</v>
      </c>
    </row>
    <row r="187" spans="1:23" ht="13.5">
      <c r="A187" s="9" t="s">
        <v>295</v>
      </c>
      <c r="B187" s="9" t="s">
        <v>296</v>
      </c>
      <c r="C187" s="16">
        <f t="shared" si="9"/>
        <v>0</v>
      </c>
      <c r="D187" s="16">
        <f>IFERROR(TRIM(LEFT(발주발송관리!T187,FIND(" ",발주발송관리!T187)-1)),0)</f>
        <v>0</v>
      </c>
      <c r="E187" s="16">
        <f>IFERROR(MID(발주발송관리!T187,FIND(" ",발주발송관리!T187)+1,LEN(발주발송관리!T187)-FIND(" ",발주발송관리!T187)+1),0)</f>
        <v>0</v>
      </c>
      <c r="F187" s="16">
        <f>발주발송관리!W187</f>
        <v>0</v>
      </c>
      <c r="G187" s="11">
        <f>발주발송관리!Y187</f>
        <v>0</v>
      </c>
      <c r="H187" s="17">
        <f>발주발송관리!Z187/1.6</f>
        <v>0</v>
      </c>
      <c r="I187" s="10"/>
      <c r="J187" s="10"/>
      <c r="K187" s="11"/>
      <c r="L187" s="11"/>
      <c r="M187" s="16">
        <f>IF(발주발송관리!M187=R187,0,발주발송관리!M187&amp;T187&amp;S187&amp;U187)</f>
        <v>0</v>
      </c>
      <c r="N187" s="16">
        <f>발주발송관리!AZ187</f>
        <v>0</v>
      </c>
      <c r="O187" s="16">
        <f>발주발송관리!AW187</f>
        <v>0</v>
      </c>
      <c r="P187" s="18"/>
      <c r="Q187" s="18">
        <f>발주발송관리!BB187</f>
        <v>0</v>
      </c>
      <c r="S187" s="20" t="str">
        <f t="shared" si="5"/>
        <v/>
      </c>
      <c r="T187" s="20" t="s">
        <v>275</v>
      </c>
      <c r="U187" s="20" t="s">
        <v>285</v>
      </c>
      <c r="V187" s="25" t="s">
        <v>245</v>
      </c>
      <c r="W187" s="25" t="s">
        <v>245</v>
      </c>
    </row>
    <row r="188" spans="1:23" ht="13.5">
      <c r="A188" s="9" t="s">
        <v>295</v>
      </c>
      <c r="B188" s="9" t="s">
        <v>296</v>
      </c>
      <c r="C188" s="16">
        <f t="shared" si="9"/>
        <v>0</v>
      </c>
      <c r="D188" s="16">
        <f>IFERROR(TRIM(LEFT(발주발송관리!T188,FIND(" ",발주발송관리!T188)-1)),0)</f>
        <v>0</v>
      </c>
      <c r="E188" s="16">
        <f>IFERROR(MID(발주발송관리!T188,FIND(" ",발주발송관리!T188)+1,LEN(발주발송관리!T188)-FIND(" ",발주발송관리!T188)+1),0)</f>
        <v>0</v>
      </c>
      <c r="F188" s="16">
        <f>발주발송관리!W188</f>
        <v>0</v>
      </c>
      <c r="G188" s="11">
        <f>발주발송관리!Y188</f>
        <v>0</v>
      </c>
      <c r="H188" s="17">
        <f>발주발송관리!Z188/1.6</f>
        <v>0</v>
      </c>
      <c r="I188" s="10"/>
      <c r="J188" s="10"/>
      <c r="K188" s="11"/>
      <c r="L188" s="11"/>
      <c r="M188" s="16">
        <f>IF(발주발송관리!M188=R188,0,발주발송관리!M188&amp;T188&amp;S188&amp;U188)</f>
        <v>0</v>
      </c>
      <c r="N188" s="16">
        <f>발주발송관리!AZ188</f>
        <v>0</v>
      </c>
      <c r="O188" s="16">
        <f>발주발송관리!AW188</f>
        <v>0</v>
      </c>
      <c r="P188" s="18"/>
      <c r="Q188" s="18">
        <f>발주발송관리!BB188</f>
        <v>0</v>
      </c>
      <c r="S188" s="20" t="str">
        <f t="shared" si="5"/>
        <v/>
      </c>
      <c r="T188" s="20" t="s">
        <v>275</v>
      </c>
      <c r="U188" s="20" t="s">
        <v>285</v>
      </c>
      <c r="V188" s="25" t="s">
        <v>246</v>
      </c>
      <c r="W188" s="25" t="s">
        <v>246</v>
      </c>
    </row>
    <row r="189" spans="1:23" ht="13.5">
      <c r="A189" s="9" t="s">
        <v>295</v>
      </c>
      <c r="B189" s="9" t="s">
        <v>296</v>
      </c>
      <c r="C189" s="16">
        <f t="shared" si="9"/>
        <v>0</v>
      </c>
      <c r="D189" s="16">
        <f>IFERROR(TRIM(LEFT(발주발송관리!T189,FIND(" ",발주발송관리!T189)-1)),0)</f>
        <v>0</v>
      </c>
      <c r="E189" s="16">
        <f>IFERROR(MID(발주발송관리!T189,FIND(" ",발주발송관리!T189)+1,LEN(발주발송관리!T189)-FIND(" ",발주발송관리!T189)+1),0)</f>
        <v>0</v>
      </c>
      <c r="F189" s="16">
        <f>발주발송관리!W189</f>
        <v>0</v>
      </c>
      <c r="G189" s="11">
        <f>발주발송관리!Y189</f>
        <v>0</v>
      </c>
      <c r="H189" s="17">
        <f>발주발송관리!Z189/1.6</f>
        <v>0</v>
      </c>
      <c r="I189" s="10"/>
      <c r="J189" s="10"/>
      <c r="K189" s="11"/>
      <c r="L189" s="11"/>
      <c r="M189" s="16">
        <f>IF(발주발송관리!M189=R189,0,발주발송관리!M189&amp;T189&amp;S189&amp;U189)</f>
        <v>0</v>
      </c>
      <c r="N189" s="16">
        <f>발주발송관리!AZ189</f>
        <v>0</v>
      </c>
      <c r="O189" s="16">
        <f>발주발송관리!AW189</f>
        <v>0</v>
      </c>
      <c r="P189" s="18"/>
      <c r="Q189" s="18">
        <f>발주발송관리!BB189</f>
        <v>0</v>
      </c>
      <c r="S189" s="20" t="str">
        <f t="shared" si="5"/>
        <v/>
      </c>
      <c r="T189" s="20" t="s">
        <v>275</v>
      </c>
      <c r="U189" s="20" t="s">
        <v>285</v>
      </c>
      <c r="V189" s="25" t="s">
        <v>247</v>
      </c>
      <c r="W189" s="25" t="s">
        <v>247</v>
      </c>
    </row>
    <row r="190" spans="1:23" ht="13.5">
      <c r="A190" s="9" t="s">
        <v>295</v>
      </c>
      <c r="B190" s="9" t="s">
        <v>296</v>
      </c>
      <c r="C190" s="16">
        <f t="shared" si="9"/>
        <v>0</v>
      </c>
      <c r="D190" s="16">
        <f>IFERROR(TRIM(LEFT(발주발송관리!T190,FIND(" ",발주발송관리!T190)-1)),0)</f>
        <v>0</v>
      </c>
      <c r="E190" s="16">
        <f>IFERROR(MID(발주발송관리!T190,FIND(" ",발주발송관리!T190)+1,LEN(발주발송관리!T190)-FIND(" ",발주발송관리!T190)+1),0)</f>
        <v>0</v>
      </c>
      <c r="F190" s="16">
        <f>발주발송관리!W190</f>
        <v>0</v>
      </c>
      <c r="G190" s="11">
        <f>발주발송관리!Y190</f>
        <v>0</v>
      </c>
      <c r="H190" s="17">
        <f>발주발송관리!Z190/1.6</f>
        <v>0</v>
      </c>
      <c r="I190" s="10"/>
      <c r="J190" s="10"/>
      <c r="K190" s="11"/>
      <c r="L190" s="11"/>
      <c r="M190" s="16">
        <f>IF(발주발송관리!M190=R190,0,발주발송관리!M190&amp;T190&amp;S190&amp;U190)</f>
        <v>0</v>
      </c>
      <c r="N190" s="16">
        <f>발주발송관리!AZ190</f>
        <v>0</v>
      </c>
      <c r="O190" s="16">
        <f>발주발송관리!AW190</f>
        <v>0</v>
      </c>
      <c r="P190" s="18"/>
      <c r="Q190" s="18">
        <f>발주발송관리!BB190</f>
        <v>0</v>
      </c>
      <c r="S190" s="20" t="str">
        <f t="shared" si="5"/>
        <v/>
      </c>
      <c r="T190" s="20" t="s">
        <v>275</v>
      </c>
      <c r="U190" s="20" t="s">
        <v>285</v>
      </c>
      <c r="V190" s="25" t="s">
        <v>248</v>
      </c>
      <c r="W190" s="25" t="s">
        <v>248</v>
      </c>
    </row>
    <row r="191" spans="1:23" ht="13.5">
      <c r="A191" s="9" t="s">
        <v>295</v>
      </c>
      <c r="B191" s="9" t="s">
        <v>296</v>
      </c>
      <c r="C191" s="16">
        <f t="shared" si="9"/>
        <v>0</v>
      </c>
      <c r="D191" s="16">
        <f>IFERROR(TRIM(LEFT(발주발송관리!T191,FIND(" ",발주발송관리!T191)-1)),0)</f>
        <v>0</v>
      </c>
      <c r="E191" s="16">
        <f>IFERROR(MID(발주발송관리!T191,FIND(" ",발주발송관리!T191)+1,LEN(발주발송관리!T191)-FIND(" ",발주발송관리!T191)+1),0)</f>
        <v>0</v>
      </c>
      <c r="F191" s="16">
        <f>발주발송관리!W191</f>
        <v>0</v>
      </c>
      <c r="G191" s="11">
        <f>발주발송관리!Y191</f>
        <v>0</v>
      </c>
      <c r="H191" s="17">
        <f>발주발송관리!Z191/1.6</f>
        <v>0</v>
      </c>
      <c r="I191" s="10"/>
      <c r="J191" s="10"/>
      <c r="K191" s="11"/>
      <c r="L191" s="11"/>
      <c r="M191" s="16">
        <f>IF(발주발송관리!M191=R191,0,발주발송관리!M191&amp;T191&amp;S191&amp;U191)</f>
        <v>0</v>
      </c>
      <c r="N191" s="16">
        <f>발주발송관리!AZ191</f>
        <v>0</v>
      </c>
      <c r="O191" s="16">
        <f>발주발송관리!AW191</f>
        <v>0</v>
      </c>
      <c r="P191" s="18"/>
      <c r="Q191" s="18">
        <f>발주발송관리!BB191</f>
        <v>0</v>
      </c>
      <c r="S191" s="20" t="str">
        <f t="shared" si="5"/>
        <v/>
      </c>
      <c r="T191" s="20" t="s">
        <v>275</v>
      </c>
      <c r="U191" s="20" t="s">
        <v>285</v>
      </c>
      <c r="V191" s="25" t="s">
        <v>249</v>
      </c>
      <c r="W191" s="25" t="s">
        <v>249</v>
      </c>
    </row>
    <row r="192" spans="1:23" ht="13.5">
      <c r="A192" s="9" t="s">
        <v>295</v>
      </c>
      <c r="B192" s="9" t="s">
        <v>296</v>
      </c>
      <c r="C192" s="16">
        <f t="shared" si="9"/>
        <v>0</v>
      </c>
      <c r="D192" s="16">
        <f>IFERROR(TRIM(LEFT(발주발송관리!T192,FIND(" ",발주발송관리!T192)-1)),0)</f>
        <v>0</v>
      </c>
      <c r="E192" s="16">
        <f>IFERROR(MID(발주발송관리!T192,FIND(" ",발주발송관리!T192)+1,LEN(발주발송관리!T192)-FIND(" ",발주발송관리!T192)+1),0)</f>
        <v>0</v>
      </c>
      <c r="F192" s="16">
        <f>발주발송관리!W192</f>
        <v>0</v>
      </c>
      <c r="G192" s="11">
        <f>발주발송관리!Y192</f>
        <v>0</v>
      </c>
      <c r="H192" s="17">
        <f>발주발송관리!Z192/1.6</f>
        <v>0</v>
      </c>
      <c r="I192" s="10"/>
      <c r="J192" s="10"/>
      <c r="K192" s="11"/>
      <c r="L192" s="11"/>
      <c r="M192" s="16">
        <f>IF(발주발송관리!M192=R192,0,발주발송관리!M192&amp;T192&amp;S192&amp;U192)</f>
        <v>0</v>
      </c>
      <c r="N192" s="16">
        <f>발주발송관리!AZ192</f>
        <v>0</v>
      </c>
      <c r="O192" s="16">
        <f>발주발송관리!AW192</f>
        <v>0</v>
      </c>
      <c r="P192" s="18"/>
      <c r="Q192" s="18">
        <f>발주발송관리!BB192</f>
        <v>0</v>
      </c>
      <c r="S192" s="20" t="str">
        <f t="shared" si="5"/>
        <v/>
      </c>
      <c r="T192" s="20" t="s">
        <v>275</v>
      </c>
      <c r="U192" s="20" t="s">
        <v>285</v>
      </c>
      <c r="V192" s="25" t="s">
        <v>250</v>
      </c>
      <c r="W192" s="25" t="s">
        <v>250</v>
      </c>
    </row>
    <row r="193" spans="1:23" ht="13.5">
      <c r="A193" s="9" t="s">
        <v>295</v>
      </c>
      <c r="B193" s="9" t="s">
        <v>296</v>
      </c>
      <c r="C193" s="16">
        <f t="shared" si="9"/>
        <v>0</v>
      </c>
      <c r="D193" s="16">
        <f>IFERROR(TRIM(LEFT(발주발송관리!T193,FIND(" ",발주발송관리!T193)-1)),0)</f>
        <v>0</v>
      </c>
      <c r="E193" s="16">
        <f>IFERROR(MID(발주발송관리!T193,FIND(" ",발주발송관리!T193)+1,LEN(발주발송관리!T193)-FIND(" ",발주발송관리!T193)+1),0)</f>
        <v>0</v>
      </c>
      <c r="F193" s="16">
        <f>발주발송관리!W193</f>
        <v>0</v>
      </c>
      <c r="G193" s="11">
        <f>발주발송관리!Y193</f>
        <v>0</v>
      </c>
      <c r="H193" s="17">
        <f>발주발송관리!Z193/1.6</f>
        <v>0</v>
      </c>
      <c r="I193" s="10"/>
      <c r="J193" s="10"/>
      <c r="K193" s="11"/>
      <c r="L193" s="11"/>
      <c r="M193" s="16">
        <f>IF(발주발송관리!M193=R193,0,발주발송관리!M193&amp;T193&amp;S193&amp;U193)</f>
        <v>0</v>
      </c>
      <c r="N193" s="16">
        <f>발주발송관리!AZ193</f>
        <v>0</v>
      </c>
      <c r="O193" s="16">
        <f>발주발송관리!AW193</f>
        <v>0</v>
      </c>
      <c r="P193" s="18"/>
      <c r="Q193" s="18">
        <f>발주발송관리!BB193</f>
        <v>0</v>
      </c>
      <c r="S193" s="20" t="str">
        <f t="shared" si="5"/>
        <v/>
      </c>
      <c r="T193" s="20" t="s">
        <v>275</v>
      </c>
      <c r="U193" s="20" t="s">
        <v>285</v>
      </c>
      <c r="V193" s="25" t="s">
        <v>251</v>
      </c>
      <c r="W193" s="25" t="s">
        <v>251</v>
      </c>
    </row>
    <row r="194" spans="1:23" ht="13.5">
      <c r="A194" s="9" t="s">
        <v>295</v>
      </c>
      <c r="B194" s="9" t="s">
        <v>296</v>
      </c>
      <c r="C194" s="16">
        <f t="shared" si="9"/>
        <v>0</v>
      </c>
      <c r="D194" s="16">
        <f>IFERROR(TRIM(LEFT(발주발송관리!T194,FIND(" ",발주발송관리!T194)-1)),0)</f>
        <v>0</v>
      </c>
      <c r="E194" s="16">
        <f>IFERROR(MID(발주발송관리!T194,FIND(" ",발주발송관리!T194)+1,LEN(발주발송관리!T194)-FIND(" ",발주발송관리!T194)+1),0)</f>
        <v>0</v>
      </c>
      <c r="F194" s="16">
        <f>발주발송관리!W194</f>
        <v>0</v>
      </c>
      <c r="G194" s="11">
        <f>발주발송관리!Y194</f>
        <v>0</v>
      </c>
      <c r="H194" s="17">
        <f>발주발송관리!Z194/1.6</f>
        <v>0</v>
      </c>
      <c r="I194" s="10"/>
      <c r="J194" s="10"/>
      <c r="K194" s="11"/>
      <c r="L194" s="11"/>
      <c r="M194" s="16">
        <f>IF(발주발송관리!M194=R194,0,발주발송관리!M194&amp;T194&amp;S194&amp;U194)</f>
        <v>0</v>
      </c>
      <c r="N194" s="16">
        <f>발주발송관리!AZ194</f>
        <v>0</v>
      </c>
      <c r="O194" s="16">
        <f>발주발송관리!AW194</f>
        <v>0</v>
      </c>
      <c r="P194" s="18"/>
      <c r="Q194" s="18">
        <f>발주발송관리!BB194</f>
        <v>0</v>
      </c>
      <c r="S194" s="20" t="str">
        <f t="shared" si="5"/>
        <v/>
      </c>
      <c r="T194" s="20" t="s">
        <v>275</v>
      </c>
      <c r="U194" s="20" t="s">
        <v>285</v>
      </c>
      <c r="V194" s="25" t="s">
        <v>252</v>
      </c>
      <c r="W194" s="25" t="s">
        <v>252</v>
      </c>
    </row>
    <row r="195" spans="1:23" ht="13.5">
      <c r="A195" s="9" t="s">
        <v>295</v>
      </c>
      <c r="B195" s="9" t="s">
        <v>296</v>
      </c>
      <c r="C195" s="16">
        <f t="shared" si="9"/>
        <v>0</v>
      </c>
      <c r="D195" s="16">
        <f>IFERROR(TRIM(LEFT(발주발송관리!T195,FIND(" ",발주발송관리!T195)-1)),0)</f>
        <v>0</v>
      </c>
      <c r="E195" s="16">
        <f>IFERROR(MID(발주발송관리!T195,FIND(" ",발주발송관리!T195)+1,LEN(발주발송관리!T195)-FIND(" ",발주발송관리!T195)+1),0)</f>
        <v>0</v>
      </c>
      <c r="F195" s="16">
        <f>발주발송관리!W195</f>
        <v>0</v>
      </c>
      <c r="G195" s="11">
        <f>발주발송관리!Y195</f>
        <v>0</v>
      </c>
      <c r="H195" s="17">
        <f>발주발송관리!Z195/1.6</f>
        <v>0</v>
      </c>
      <c r="I195" s="10"/>
      <c r="J195" s="10"/>
      <c r="K195" s="11"/>
      <c r="L195" s="11"/>
      <c r="M195" s="16">
        <f>IF(발주발송관리!M195=R195,0,발주발송관리!M195&amp;T195&amp;S195&amp;U195)</f>
        <v>0</v>
      </c>
      <c r="N195" s="16">
        <f>발주발송관리!AZ195</f>
        <v>0</v>
      </c>
      <c r="O195" s="16">
        <f>발주발송관리!AW195</f>
        <v>0</v>
      </c>
      <c r="P195" s="18"/>
      <c r="Q195" s="18">
        <f>발주발송관리!BB195</f>
        <v>0</v>
      </c>
      <c r="S195" s="20" t="str">
        <f t="shared" ref="S195:S258" si="10">IFERROR(LOOKUP(1,0/(FIND($V$2:$V$209,O195)),$W$2:$W$209),"")</f>
        <v/>
      </c>
      <c r="T195" s="20" t="s">
        <v>275</v>
      </c>
      <c r="U195" s="20" t="s">
        <v>285</v>
      </c>
      <c r="V195" s="25" t="s">
        <v>253</v>
      </c>
      <c r="W195" s="25" t="s">
        <v>253</v>
      </c>
    </row>
    <row r="196" spans="1:23" ht="13.5">
      <c r="A196" s="9" t="s">
        <v>295</v>
      </c>
      <c r="B196" s="9" t="s">
        <v>296</v>
      </c>
      <c r="C196" s="16">
        <f t="shared" si="9"/>
        <v>0</v>
      </c>
      <c r="D196" s="16">
        <f>IFERROR(TRIM(LEFT(발주발송관리!T196,FIND(" ",발주발송관리!T196)-1)),0)</f>
        <v>0</v>
      </c>
      <c r="E196" s="16">
        <f>IFERROR(MID(발주발송관리!T196,FIND(" ",발주발송관리!T196)+1,LEN(발주발송관리!T196)-FIND(" ",발주발송관리!T196)+1),0)</f>
        <v>0</v>
      </c>
      <c r="F196" s="16">
        <f>발주발송관리!W196</f>
        <v>0</v>
      </c>
      <c r="G196" s="11">
        <f>발주발송관리!Y196</f>
        <v>0</v>
      </c>
      <c r="H196" s="17">
        <f>발주발송관리!Z196/1.6</f>
        <v>0</v>
      </c>
      <c r="I196" s="10"/>
      <c r="J196" s="10"/>
      <c r="K196" s="11"/>
      <c r="L196" s="11"/>
      <c r="M196" s="16">
        <f>IF(발주발송관리!M196=R196,0,발주발송관리!M196&amp;T196&amp;S196&amp;U196)</f>
        <v>0</v>
      </c>
      <c r="N196" s="16">
        <f>발주발송관리!AZ196</f>
        <v>0</v>
      </c>
      <c r="O196" s="16">
        <f>발주발송관리!AW196</f>
        <v>0</v>
      </c>
      <c r="P196" s="18"/>
      <c r="Q196" s="18">
        <f>발주발송관리!BB196</f>
        <v>0</v>
      </c>
      <c r="S196" s="20" t="str">
        <f t="shared" si="10"/>
        <v/>
      </c>
      <c r="T196" s="20" t="s">
        <v>275</v>
      </c>
      <c r="U196" s="20" t="s">
        <v>285</v>
      </c>
      <c r="V196" s="25" t="s">
        <v>254</v>
      </c>
      <c r="W196" s="25" t="s">
        <v>254</v>
      </c>
    </row>
    <row r="197" spans="1:23" ht="13.5">
      <c r="A197" s="9" t="s">
        <v>295</v>
      </c>
      <c r="B197" s="9" t="s">
        <v>296</v>
      </c>
      <c r="C197" s="16">
        <f t="shared" si="9"/>
        <v>0</v>
      </c>
      <c r="D197" s="16">
        <f>IFERROR(TRIM(LEFT(발주발송관리!T197,FIND(" ",발주발송관리!T197)-1)),0)</f>
        <v>0</v>
      </c>
      <c r="E197" s="16">
        <f>IFERROR(MID(발주발송관리!T197,FIND(" ",발주발송관리!T197)+1,LEN(발주발송관리!T197)-FIND(" ",발주발송관리!T197)+1),0)</f>
        <v>0</v>
      </c>
      <c r="F197" s="16">
        <f>발주발송관리!W197</f>
        <v>0</v>
      </c>
      <c r="G197" s="11">
        <f>발주발송관리!Y197</f>
        <v>0</v>
      </c>
      <c r="H197" s="17">
        <f>발주발송관리!Z197/1.6</f>
        <v>0</v>
      </c>
      <c r="I197" s="10"/>
      <c r="J197" s="10"/>
      <c r="K197" s="11"/>
      <c r="L197" s="11"/>
      <c r="M197" s="16">
        <f>IF(발주발송관리!M197=R197,0,발주발송관리!M197&amp;T197&amp;S197&amp;U197)</f>
        <v>0</v>
      </c>
      <c r="N197" s="16">
        <f>발주발송관리!AZ197</f>
        <v>0</v>
      </c>
      <c r="O197" s="16">
        <f>발주발송관리!AW197</f>
        <v>0</v>
      </c>
      <c r="P197" s="18"/>
      <c r="Q197" s="18">
        <f>발주발송관리!BB197</f>
        <v>0</v>
      </c>
      <c r="S197" s="20" t="str">
        <f t="shared" si="10"/>
        <v/>
      </c>
      <c r="T197" s="20" t="s">
        <v>275</v>
      </c>
      <c r="U197" s="20" t="s">
        <v>285</v>
      </c>
      <c r="V197" s="25" t="s">
        <v>117</v>
      </c>
      <c r="W197" s="25" t="s">
        <v>117</v>
      </c>
    </row>
    <row r="198" spans="1:23" ht="13.5">
      <c r="A198" s="9" t="s">
        <v>295</v>
      </c>
      <c r="B198" s="9" t="s">
        <v>296</v>
      </c>
      <c r="C198" s="16">
        <f t="shared" si="9"/>
        <v>0</v>
      </c>
      <c r="D198" s="16">
        <f>IFERROR(TRIM(LEFT(발주발송관리!T198,FIND(" ",발주발송관리!T198)-1)),0)</f>
        <v>0</v>
      </c>
      <c r="E198" s="16">
        <f>IFERROR(MID(발주발송관리!T198,FIND(" ",발주발송관리!T198)+1,LEN(발주발송관리!T198)-FIND(" ",발주발송관리!T198)+1),0)</f>
        <v>0</v>
      </c>
      <c r="F198" s="16">
        <f>발주발송관리!W198</f>
        <v>0</v>
      </c>
      <c r="G198" s="11">
        <f>발주발송관리!Y198</f>
        <v>0</v>
      </c>
      <c r="H198" s="17">
        <f>발주발송관리!Z198/1.6</f>
        <v>0</v>
      </c>
      <c r="I198" s="10"/>
      <c r="J198" s="10"/>
      <c r="K198" s="11"/>
      <c r="L198" s="11"/>
      <c r="M198" s="16">
        <f>IF(발주발송관리!M198=R198,0,발주발송관리!M198&amp;T198&amp;S198&amp;U198)</f>
        <v>0</v>
      </c>
      <c r="N198" s="16">
        <f>발주발송관리!AZ198</f>
        <v>0</v>
      </c>
      <c r="O198" s="16">
        <f>발주발송관리!AW198</f>
        <v>0</v>
      </c>
      <c r="P198" s="18"/>
      <c r="Q198" s="18">
        <f>발주발송관리!BB198</f>
        <v>0</v>
      </c>
      <c r="S198" s="20" t="str">
        <f t="shared" si="10"/>
        <v/>
      </c>
      <c r="T198" s="20" t="s">
        <v>275</v>
      </c>
      <c r="U198" s="20" t="s">
        <v>285</v>
      </c>
      <c r="V198" s="25" t="s">
        <v>255</v>
      </c>
      <c r="W198" s="25" t="s">
        <v>255</v>
      </c>
    </row>
    <row r="199" spans="1:23" ht="13.5">
      <c r="A199" s="9" t="s">
        <v>295</v>
      </c>
      <c r="B199" s="9" t="s">
        <v>296</v>
      </c>
      <c r="C199" s="16">
        <f t="shared" si="9"/>
        <v>0</v>
      </c>
      <c r="D199" s="16">
        <f>IFERROR(TRIM(LEFT(발주발송관리!T199,FIND(" ",발주발송관리!T199)-1)),0)</f>
        <v>0</v>
      </c>
      <c r="E199" s="16">
        <f>IFERROR(MID(발주발송관리!T199,FIND(" ",발주발송관리!T199)+1,LEN(발주발송관리!T199)-FIND(" ",발주발송관리!T199)+1),0)</f>
        <v>0</v>
      </c>
      <c r="F199" s="16">
        <f>발주발송관리!W199</f>
        <v>0</v>
      </c>
      <c r="G199" s="11">
        <f>발주발송관리!Y199</f>
        <v>0</v>
      </c>
      <c r="H199" s="17">
        <f>발주발송관리!Z199/1.6</f>
        <v>0</v>
      </c>
      <c r="I199" s="10"/>
      <c r="J199" s="10"/>
      <c r="K199" s="11"/>
      <c r="L199" s="11"/>
      <c r="M199" s="16">
        <f>IF(발주발송관리!M199=R199,0,발주발송관리!M199&amp;T199&amp;S199&amp;U199)</f>
        <v>0</v>
      </c>
      <c r="N199" s="16">
        <f>발주발송관리!AZ199</f>
        <v>0</v>
      </c>
      <c r="O199" s="16">
        <f>발주발송관리!AW199</f>
        <v>0</v>
      </c>
      <c r="P199" s="18"/>
      <c r="Q199" s="18">
        <f>발주발송관리!BB199</f>
        <v>0</v>
      </c>
      <c r="S199" s="20" t="str">
        <f t="shared" si="10"/>
        <v/>
      </c>
      <c r="T199" s="20" t="s">
        <v>275</v>
      </c>
      <c r="U199" s="20" t="s">
        <v>285</v>
      </c>
      <c r="V199" s="25" t="s">
        <v>256</v>
      </c>
      <c r="W199" s="25" t="s">
        <v>256</v>
      </c>
    </row>
    <row r="200" spans="1:23" ht="13.5">
      <c r="A200" s="9" t="s">
        <v>295</v>
      </c>
      <c r="B200" s="9" t="s">
        <v>296</v>
      </c>
      <c r="C200" s="16">
        <f t="shared" si="9"/>
        <v>0</v>
      </c>
      <c r="D200" s="16">
        <f>IFERROR(TRIM(LEFT(발주발송관리!T200,FIND(" ",발주발송관리!T200)-1)),0)</f>
        <v>0</v>
      </c>
      <c r="E200" s="16">
        <f>IFERROR(MID(발주발송관리!T200,FIND(" ",발주발송관리!T200)+1,LEN(발주발송관리!T200)-FIND(" ",발주발송관리!T200)+1),0)</f>
        <v>0</v>
      </c>
      <c r="F200" s="16">
        <f>발주발송관리!W200</f>
        <v>0</v>
      </c>
      <c r="G200" s="11">
        <f>발주발송관리!Y200</f>
        <v>0</v>
      </c>
      <c r="H200" s="17">
        <f>발주발송관리!Z200/1.6</f>
        <v>0</v>
      </c>
      <c r="I200" s="10"/>
      <c r="J200" s="10"/>
      <c r="K200" s="11"/>
      <c r="L200" s="11"/>
      <c r="M200" s="16">
        <f>IF(발주발송관리!M200=R200,0,발주발송관리!M200&amp;T200&amp;S200&amp;U200)</f>
        <v>0</v>
      </c>
      <c r="N200" s="16">
        <f>발주발송관리!AZ200</f>
        <v>0</v>
      </c>
      <c r="O200" s="16">
        <f>발주발송관리!AW200</f>
        <v>0</v>
      </c>
      <c r="P200" s="18"/>
      <c r="Q200" s="18">
        <f>발주발송관리!BB200</f>
        <v>0</v>
      </c>
      <c r="S200" s="20" t="str">
        <f t="shared" si="10"/>
        <v/>
      </c>
      <c r="T200" s="20" t="s">
        <v>275</v>
      </c>
      <c r="U200" s="20" t="s">
        <v>285</v>
      </c>
      <c r="V200" s="25" t="s">
        <v>257</v>
      </c>
      <c r="W200" s="25" t="s">
        <v>257</v>
      </c>
    </row>
    <row r="201" spans="1:23" ht="13.5">
      <c r="A201" s="9" t="s">
        <v>295</v>
      </c>
      <c r="B201" s="9" t="s">
        <v>296</v>
      </c>
      <c r="C201" s="16">
        <f t="shared" si="9"/>
        <v>0</v>
      </c>
      <c r="D201" s="16">
        <f>IFERROR(TRIM(LEFT(발주발송관리!T201,FIND(" ",발주발송관리!T201)-1)),0)</f>
        <v>0</v>
      </c>
      <c r="E201" s="16">
        <f>IFERROR(MID(발주발송관리!T201,FIND(" ",발주발송관리!T201)+1,LEN(발주발송관리!T201)-FIND(" ",발주발송관리!T201)+1),0)</f>
        <v>0</v>
      </c>
      <c r="F201" s="16">
        <f>발주발송관리!W201</f>
        <v>0</v>
      </c>
      <c r="G201" s="11">
        <f>발주발송관리!Y201</f>
        <v>0</v>
      </c>
      <c r="H201" s="17">
        <f>발주발송관리!Z201/1.6</f>
        <v>0</v>
      </c>
      <c r="I201" s="10"/>
      <c r="J201" s="10"/>
      <c r="K201" s="11"/>
      <c r="L201" s="11"/>
      <c r="M201" s="16">
        <f>IF(발주발송관리!M201=R201,0,발주발송관리!M201&amp;T201&amp;S201&amp;U201)</f>
        <v>0</v>
      </c>
      <c r="N201" s="16">
        <f>발주발송관리!AZ201</f>
        <v>0</v>
      </c>
      <c r="O201" s="16">
        <f>발주발송관리!AW201</f>
        <v>0</v>
      </c>
      <c r="P201" s="18"/>
      <c r="Q201" s="18">
        <f>발주발송관리!BB201</f>
        <v>0</v>
      </c>
      <c r="S201" s="20" t="str">
        <f t="shared" si="10"/>
        <v/>
      </c>
      <c r="T201" s="20" t="s">
        <v>275</v>
      </c>
      <c r="U201" s="20" t="s">
        <v>285</v>
      </c>
      <c r="V201" s="25" t="s">
        <v>258</v>
      </c>
      <c r="W201" s="25" t="s">
        <v>258</v>
      </c>
    </row>
    <row r="202" spans="1:23" ht="13.5">
      <c r="A202" s="9" t="s">
        <v>295</v>
      </c>
      <c r="B202" s="9" t="s">
        <v>296</v>
      </c>
      <c r="C202" s="16">
        <f t="shared" si="9"/>
        <v>0</v>
      </c>
      <c r="D202" s="16">
        <f>IFERROR(TRIM(LEFT(발주발송관리!T202,FIND(" ",발주발송관리!T202)-1)),0)</f>
        <v>0</v>
      </c>
      <c r="E202" s="16">
        <f>IFERROR(MID(발주발송관리!T202,FIND(" ",발주발송관리!T202)+1,LEN(발주발송관리!T202)-FIND(" ",발주발송관리!T202)+1),0)</f>
        <v>0</v>
      </c>
      <c r="F202" s="16">
        <f>발주발송관리!W202</f>
        <v>0</v>
      </c>
      <c r="G202" s="11">
        <f>발주발송관리!Y202</f>
        <v>0</v>
      </c>
      <c r="H202" s="17">
        <f>발주발송관리!Z202/1.6</f>
        <v>0</v>
      </c>
      <c r="I202" s="10"/>
      <c r="J202" s="10"/>
      <c r="K202" s="11"/>
      <c r="L202" s="11"/>
      <c r="M202" s="16">
        <f>IF(발주발송관리!M202=R202,0,발주발송관리!M202&amp;T202&amp;S202&amp;U202)</f>
        <v>0</v>
      </c>
      <c r="N202" s="16">
        <f>발주발송관리!AZ202</f>
        <v>0</v>
      </c>
      <c r="O202" s="16">
        <f>발주발송관리!AW202</f>
        <v>0</v>
      </c>
      <c r="P202" s="18"/>
      <c r="Q202" s="18">
        <f>발주발송관리!BB202</f>
        <v>0</v>
      </c>
      <c r="S202" s="20" t="str">
        <f t="shared" si="10"/>
        <v/>
      </c>
      <c r="T202" s="20" t="s">
        <v>275</v>
      </c>
      <c r="U202" s="20" t="s">
        <v>285</v>
      </c>
      <c r="V202" s="25" t="s">
        <v>259</v>
      </c>
      <c r="W202" s="25" t="s">
        <v>259</v>
      </c>
    </row>
    <row r="203" spans="1:23" ht="13.5">
      <c r="A203" s="9" t="s">
        <v>295</v>
      </c>
      <c r="B203" s="9" t="s">
        <v>296</v>
      </c>
      <c r="C203" s="16">
        <f t="shared" si="9"/>
        <v>0</v>
      </c>
      <c r="D203" s="16">
        <f>IFERROR(TRIM(LEFT(발주발송관리!T203,FIND(" ",발주발송관리!T203)-1)),0)</f>
        <v>0</v>
      </c>
      <c r="E203" s="16">
        <f>IFERROR(MID(발주발송관리!T203,FIND(" ",발주발송관리!T203)+1,LEN(발주발송관리!T203)-FIND(" ",발주발송관리!T203)+1),0)</f>
        <v>0</v>
      </c>
      <c r="F203" s="16">
        <f>발주발송관리!W203</f>
        <v>0</v>
      </c>
      <c r="G203" s="11">
        <f>발주발송관리!Y203</f>
        <v>0</v>
      </c>
      <c r="H203" s="17">
        <f>발주발송관리!Z203/1.6</f>
        <v>0</v>
      </c>
      <c r="I203" s="10"/>
      <c r="J203" s="10"/>
      <c r="K203" s="11"/>
      <c r="L203" s="11"/>
      <c r="M203" s="16">
        <f>IF(발주발송관리!M203=R203,0,발주발송관리!M203&amp;T203&amp;S203&amp;U203)</f>
        <v>0</v>
      </c>
      <c r="N203" s="16">
        <f>발주발송관리!AZ203</f>
        <v>0</v>
      </c>
      <c r="O203" s="16">
        <f>발주발송관리!AW203</f>
        <v>0</v>
      </c>
      <c r="P203" s="18"/>
      <c r="Q203" s="18">
        <f>발주발송관리!BB203</f>
        <v>0</v>
      </c>
      <c r="S203" s="20" t="str">
        <f t="shared" si="10"/>
        <v/>
      </c>
      <c r="T203" s="20" t="s">
        <v>275</v>
      </c>
      <c r="U203" s="20" t="s">
        <v>285</v>
      </c>
      <c r="V203" s="25" t="s">
        <v>260</v>
      </c>
      <c r="W203" s="25" t="s">
        <v>260</v>
      </c>
    </row>
    <row r="204" spans="1:23" ht="13.5">
      <c r="A204" s="9" t="s">
        <v>295</v>
      </c>
      <c r="B204" s="9" t="s">
        <v>296</v>
      </c>
      <c r="C204" s="16">
        <f t="shared" si="9"/>
        <v>0</v>
      </c>
      <c r="D204" s="16">
        <f>IFERROR(TRIM(LEFT(발주발송관리!T204,FIND(" ",발주발송관리!T204)-1)),0)</f>
        <v>0</v>
      </c>
      <c r="E204" s="16">
        <f>IFERROR(MID(발주발송관리!T204,FIND(" ",발주발송관리!T204)+1,LEN(발주발송관리!T204)-FIND(" ",발주발송관리!T204)+1),0)</f>
        <v>0</v>
      </c>
      <c r="F204" s="16">
        <f>발주발송관리!W204</f>
        <v>0</v>
      </c>
      <c r="G204" s="11">
        <f>발주발송관리!Y204</f>
        <v>0</v>
      </c>
      <c r="H204" s="17">
        <f>발주발송관리!Z204/1.6</f>
        <v>0</v>
      </c>
      <c r="I204" s="10"/>
      <c r="J204" s="10"/>
      <c r="K204" s="11"/>
      <c r="L204" s="11"/>
      <c r="M204" s="16">
        <f>IF(발주발송관리!M204=R204,0,발주발송관리!M204&amp;T204&amp;S204&amp;U204)</f>
        <v>0</v>
      </c>
      <c r="N204" s="16">
        <f>발주발송관리!AZ204</f>
        <v>0</v>
      </c>
      <c r="O204" s="16">
        <f>발주발송관리!AW204</f>
        <v>0</v>
      </c>
      <c r="P204" s="18"/>
      <c r="Q204" s="18">
        <f>발주발송관리!BB204</f>
        <v>0</v>
      </c>
      <c r="S204" s="20" t="str">
        <f t="shared" si="10"/>
        <v/>
      </c>
      <c r="T204" s="20" t="s">
        <v>275</v>
      </c>
      <c r="U204" s="20" t="s">
        <v>285</v>
      </c>
      <c r="V204" s="27" t="s">
        <v>289</v>
      </c>
      <c r="W204" s="27" t="s">
        <v>289</v>
      </c>
    </row>
    <row r="205" spans="1:23" ht="13.5">
      <c r="A205" s="9" t="s">
        <v>295</v>
      </c>
      <c r="B205" s="9" t="s">
        <v>296</v>
      </c>
      <c r="C205" s="16">
        <f t="shared" si="9"/>
        <v>0</v>
      </c>
      <c r="D205" s="16">
        <f>IFERROR(TRIM(LEFT(발주발송관리!T205,FIND(" ",발주발송관리!T205)-1)),0)</f>
        <v>0</v>
      </c>
      <c r="E205" s="16">
        <f>IFERROR(MID(발주발송관리!T205,FIND(" ",발주발송관리!T205)+1,LEN(발주발송관리!T205)-FIND(" ",발주발송관리!T205)+1),0)</f>
        <v>0</v>
      </c>
      <c r="F205" s="16">
        <f>발주발송관리!W205</f>
        <v>0</v>
      </c>
      <c r="G205" s="11">
        <f>발주발송관리!Y205</f>
        <v>0</v>
      </c>
      <c r="H205" s="17">
        <f>발주발송관리!Z205/1.6</f>
        <v>0</v>
      </c>
      <c r="I205" s="10"/>
      <c r="J205" s="10"/>
      <c r="K205" s="11"/>
      <c r="L205" s="11"/>
      <c r="M205" s="16">
        <f>IF(발주발송관리!M205=R205,0,발주발송관리!M205&amp;T205&amp;S205&amp;U205)</f>
        <v>0</v>
      </c>
      <c r="N205" s="16">
        <f>발주발송관리!AZ205</f>
        <v>0</v>
      </c>
      <c r="O205" s="16">
        <f>발주발송관리!AW205</f>
        <v>0</v>
      </c>
      <c r="P205" s="18"/>
      <c r="Q205" s="18">
        <f>발주발송관리!BB205</f>
        <v>0</v>
      </c>
      <c r="S205" s="20" t="str">
        <f t="shared" si="10"/>
        <v/>
      </c>
      <c r="T205" s="20" t="s">
        <v>275</v>
      </c>
      <c r="U205" s="20" t="s">
        <v>285</v>
      </c>
      <c r="V205" s="28" t="s">
        <v>290</v>
      </c>
      <c r="W205" s="28" t="s">
        <v>290</v>
      </c>
    </row>
    <row r="206" spans="1:23" ht="13.5">
      <c r="A206" s="9" t="s">
        <v>295</v>
      </c>
      <c r="B206" s="9" t="s">
        <v>296</v>
      </c>
      <c r="C206" s="16">
        <f t="shared" si="9"/>
        <v>0</v>
      </c>
      <c r="D206" s="16">
        <f>IFERROR(TRIM(LEFT(발주발송관리!T206,FIND(" ",발주발송관리!T206)-1)),0)</f>
        <v>0</v>
      </c>
      <c r="E206" s="16">
        <f>IFERROR(MID(발주발송관리!T206,FIND(" ",발주발송관리!T206)+1,LEN(발주발송관리!T206)-FIND(" ",발주발송관리!T206)+1),0)</f>
        <v>0</v>
      </c>
      <c r="F206" s="16">
        <f>발주발송관리!W206</f>
        <v>0</v>
      </c>
      <c r="G206" s="11">
        <f>발주발송관리!Y206</f>
        <v>0</v>
      </c>
      <c r="H206" s="17">
        <f>발주발송관리!Z206/1.6</f>
        <v>0</v>
      </c>
      <c r="I206" s="10"/>
      <c r="J206" s="10"/>
      <c r="K206" s="11"/>
      <c r="L206" s="11"/>
      <c r="M206" s="16">
        <f>IF(발주발송관리!M206=R206,0,발주발송관리!M206&amp;T206&amp;S206&amp;U206)</f>
        <v>0</v>
      </c>
      <c r="N206" s="16">
        <f>발주발송관리!AZ206</f>
        <v>0</v>
      </c>
      <c r="O206" s="16">
        <f>발주발송관리!AW206</f>
        <v>0</v>
      </c>
      <c r="P206" s="18"/>
      <c r="Q206" s="18">
        <f>발주발송관리!BB206</f>
        <v>0</v>
      </c>
      <c r="S206" s="20" t="str">
        <f t="shared" si="10"/>
        <v/>
      </c>
      <c r="T206" s="20" t="s">
        <v>275</v>
      </c>
      <c r="U206" s="20" t="s">
        <v>285</v>
      </c>
      <c r="V206" s="29" t="s">
        <v>291</v>
      </c>
      <c r="W206" s="28" t="s">
        <v>291</v>
      </c>
    </row>
    <row r="207" spans="1:23" ht="13.5">
      <c r="A207" s="9" t="s">
        <v>295</v>
      </c>
      <c r="B207" s="9" t="s">
        <v>296</v>
      </c>
      <c r="C207" s="16">
        <f t="shared" si="9"/>
        <v>0</v>
      </c>
      <c r="D207" s="16">
        <f>IFERROR(TRIM(LEFT(발주발송관리!T207,FIND(" ",발주발송관리!T207)-1)),0)</f>
        <v>0</v>
      </c>
      <c r="E207" s="16">
        <f>IFERROR(MID(발주발송관리!T207,FIND(" ",발주발송관리!T207)+1,LEN(발주발송관리!T207)-FIND(" ",발주발송관리!T207)+1),0)</f>
        <v>0</v>
      </c>
      <c r="F207" s="16">
        <f>발주발송관리!W207</f>
        <v>0</v>
      </c>
      <c r="G207" s="11">
        <f>발주발송관리!Y207</f>
        <v>0</v>
      </c>
      <c r="H207" s="17">
        <f>발주발송관리!Z207/1.6</f>
        <v>0</v>
      </c>
      <c r="I207" s="10"/>
      <c r="J207" s="10"/>
      <c r="K207" s="11"/>
      <c r="L207" s="11"/>
      <c r="M207" s="16">
        <f>IF(발주발송관리!M207=R207,0,발주발송관리!M207&amp;T207&amp;S207&amp;U207)</f>
        <v>0</v>
      </c>
      <c r="N207" s="16">
        <f>발주발송관리!AZ207</f>
        <v>0</v>
      </c>
      <c r="O207" s="16">
        <f>발주발송관리!AW207</f>
        <v>0</v>
      </c>
      <c r="P207" s="18"/>
      <c r="Q207" s="18">
        <f>발주발송관리!BB207</f>
        <v>0</v>
      </c>
      <c r="S207" s="20" t="str">
        <f t="shared" si="10"/>
        <v/>
      </c>
      <c r="T207" s="20" t="s">
        <v>275</v>
      </c>
      <c r="U207" s="20" t="s">
        <v>285</v>
      </c>
      <c r="V207" s="30" t="s">
        <v>292</v>
      </c>
      <c r="W207" s="30" t="s">
        <v>292</v>
      </c>
    </row>
    <row r="208" spans="1:23" ht="13.5">
      <c r="A208" s="9" t="s">
        <v>295</v>
      </c>
      <c r="B208" s="9" t="s">
        <v>296</v>
      </c>
      <c r="C208" s="16">
        <f t="shared" si="9"/>
        <v>0</v>
      </c>
      <c r="D208" s="16">
        <f>IFERROR(TRIM(LEFT(발주발송관리!T208,FIND(" ",발주발송관리!T208)-1)),0)</f>
        <v>0</v>
      </c>
      <c r="E208" s="16">
        <f>IFERROR(MID(발주발송관리!T208,FIND(" ",발주발송관리!T208)+1,LEN(발주발송관리!T208)-FIND(" ",발주발송관리!T208)+1),0)</f>
        <v>0</v>
      </c>
      <c r="F208" s="16">
        <f>발주발송관리!W208</f>
        <v>0</v>
      </c>
      <c r="G208" s="11">
        <f>발주발송관리!Y208</f>
        <v>0</v>
      </c>
      <c r="H208" s="17">
        <f>발주발송관리!Z208/1.6</f>
        <v>0</v>
      </c>
      <c r="I208" s="10"/>
      <c r="J208" s="10"/>
      <c r="K208" s="11"/>
      <c r="L208" s="11"/>
      <c r="M208" s="16">
        <f>IF(발주발송관리!M208=R208,0,발주발송관리!M208&amp;T208&amp;S208&amp;U208)</f>
        <v>0</v>
      </c>
      <c r="N208" s="16">
        <f>발주발송관리!AZ208</f>
        <v>0</v>
      </c>
      <c r="O208" s="16">
        <f>발주발송관리!AW208</f>
        <v>0</v>
      </c>
      <c r="P208" s="18"/>
      <c r="Q208" s="18">
        <f>발주발송관리!BB208</f>
        <v>0</v>
      </c>
      <c r="S208" s="20" t="str">
        <f t="shared" si="10"/>
        <v/>
      </c>
      <c r="T208" s="20" t="s">
        <v>275</v>
      </c>
      <c r="U208" s="20" t="s">
        <v>285</v>
      </c>
      <c r="V208" s="30" t="s">
        <v>293</v>
      </c>
      <c r="W208" s="30" t="s">
        <v>293</v>
      </c>
    </row>
    <row r="209" spans="1:23" ht="13.5">
      <c r="A209" s="9" t="s">
        <v>295</v>
      </c>
      <c r="B209" s="9" t="s">
        <v>296</v>
      </c>
      <c r="C209" s="16">
        <f t="shared" si="9"/>
        <v>0</v>
      </c>
      <c r="D209" s="16">
        <f>IFERROR(TRIM(LEFT(발주발송관리!T209,FIND(" ",발주발송관리!T209)-1)),0)</f>
        <v>0</v>
      </c>
      <c r="E209" s="16">
        <f>IFERROR(MID(발주발송관리!T209,FIND(" ",발주발송관리!T209)+1,LEN(발주발송관리!T209)-FIND(" ",발주발송관리!T209)+1),0)</f>
        <v>0</v>
      </c>
      <c r="F209" s="16">
        <f>발주발송관리!W209</f>
        <v>0</v>
      </c>
      <c r="G209" s="11">
        <f>발주발송관리!Y209</f>
        <v>0</v>
      </c>
      <c r="H209" s="17">
        <f>발주발송관리!Z209/1.6</f>
        <v>0</v>
      </c>
      <c r="I209" s="10"/>
      <c r="J209" s="10"/>
      <c r="K209" s="11"/>
      <c r="L209" s="11"/>
      <c r="M209" s="16">
        <f>IF(발주발송관리!M209=R209,0,발주발송관리!M209&amp;T209&amp;S209&amp;U209)</f>
        <v>0</v>
      </c>
      <c r="N209" s="16">
        <f>발주발송관리!AZ209</f>
        <v>0</v>
      </c>
      <c r="O209" s="16">
        <f>발주발송관리!AW209</f>
        <v>0</v>
      </c>
      <c r="P209" s="18"/>
      <c r="Q209" s="18">
        <f>발주발송관리!BB209</f>
        <v>0</v>
      </c>
      <c r="S209" s="20" t="str">
        <f t="shared" si="10"/>
        <v/>
      </c>
      <c r="T209" s="20" t="s">
        <v>275</v>
      </c>
      <c r="U209" s="20" t="s">
        <v>285</v>
      </c>
      <c r="V209" s="30" t="s">
        <v>294</v>
      </c>
      <c r="W209" s="30" t="s">
        <v>294</v>
      </c>
    </row>
    <row r="210" spans="1:23">
      <c r="A210" s="9" t="s">
        <v>295</v>
      </c>
      <c r="B210" s="9" t="s">
        <v>296</v>
      </c>
      <c r="C210" s="16">
        <f t="shared" si="9"/>
        <v>0</v>
      </c>
      <c r="D210" s="16">
        <f>IFERROR(TRIM(LEFT(발주발송관리!T210,FIND(" ",발주발송관리!T210)-1)),0)</f>
        <v>0</v>
      </c>
      <c r="E210" s="16">
        <f>IFERROR(MID(발주발송관리!T210,FIND(" ",발주발송관리!T210)+1,LEN(발주발송관리!T210)-FIND(" ",발주발송관리!T210)+1),0)</f>
        <v>0</v>
      </c>
      <c r="F210" s="16">
        <f>발주발송관리!W210</f>
        <v>0</v>
      </c>
      <c r="G210" s="11">
        <f>발주발송관리!Y210</f>
        <v>0</v>
      </c>
      <c r="H210" s="17">
        <f>발주발송관리!Z210/1.6</f>
        <v>0</v>
      </c>
      <c r="I210" s="10"/>
      <c r="J210" s="10"/>
      <c r="K210" s="11"/>
      <c r="L210" s="11"/>
      <c r="M210" s="16">
        <f>IF(발주발송관리!M210=R210,0,발주발송관리!M210&amp;T210&amp;S210&amp;U210)</f>
        <v>0</v>
      </c>
      <c r="N210" s="16">
        <f>발주발송관리!AZ210</f>
        <v>0</v>
      </c>
      <c r="O210" s="16">
        <f>발주발송관리!AW210</f>
        <v>0</v>
      </c>
      <c r="P210" s="18"/>
      <c r="Q210" s="18">
        <f>발주발송관리!BB210</f>
        <v>0</v>
      </c>
      <c r="S210" s="20" t="str">
        <f t="shared" si="10"/>
        <v/>
      </c>
      <c r="T210" s="20" t="s">
        <v>275</v>
      </c>
      <c r="U210" s="20" t="s">
        <v>285</v>
      </c>
    </row>
    <row r="211" spans="1:23">
      <c r="A211" s="9" t="s">
        <v>295</v>
      </c>
      <c r="B211" s="9" t="s">
        <v>296</v>
      </c>
      <c r="C211" s="16">
        <f t="shared" si="9"/>
        <v>0</v>
      </c>
      <c r="D211" s="16">
        <f>IFERROR(TRIM(LEFT(발주발송관리!T211,FIND(" ",발주발송관리!T211)-1)),0)</f>
        <v>0</v>
      </c>
      <c r="E211" s="16">
        <f>IFERROR(MID(발주발송관리!T211,FIND(" ",발주발송관리!T211)+1,LEN(발주발송관리!T211)-FIND(" ",발주발송관리!T211)+1),0)</f>
        <v>0</v>
      </c>
      <c r="F211" s="16">
        <f>발주발송관리!W211</f>
        <v>0</v>
      </c>
      <c r="G211" s="11">
        <f>발주발송관리!Y211</f>
        <v>0</v>
      </c>
      <c r="H211" s="17">
        <f>발주발송관리!Z211/1.6</f>
        <v>0</v>
      </c>
      <c r="I211" s="10"/>
      <c r="J211" s="10"/>
      <c r="K211" s="11"/>
      <c r="L211" s="11"/>
      <c r="M211" s="16">
        <f>IF(발주발송관리!M211=R211,0,발주발송관리!M211&amp;T211&amp;S211&amp;U211)</f>
        <v>0</v>
      </c>
      <c r="N211" s="16">
        <f>발주발송관리!AZ211</f>
        <v>0</v>
      </c>
      <c r="O211" s="16">
        <f>발주발송관리!AW211</f>
        <v>0</v>
      </c>
      <c r="P211" s="18"/>
      <c r="Q211" s="18">
        <f>발주발송관리!BB211</f>
        <v>0</v>
      </c>
      <c r="S211" s="20" t="str">
        <f t="shared" si="10"/>
        <v/>
      </c>
      <c r="T211" s="20" t="s">
        <v>275</v>
      </c>
      <c r="U211" s="20" t="s">
        <v>285</v>
      </c>
    </row>
    <row r="212" spans="1:23">
      <c r="A212" s="9" t="s">
        <v>295</v>
      </c>
      <c r="B212" s="9" t="s">
        <v>296</v>
      </c>
      <c r="C212" s="16">
        <f t="shared" si="9"/>
        <v>0</v>
      </c>
      <c r="D212" s="16">
        <f>IFERROR(TRIM(LEFT(발주발송관리!T212,FIND(" ",발주발송관리!T212)-1)),0)</f>
        <v>0</v>
      </c>
      <c r="E212" s="16">
        <f>IFERROR(MID(발주발송관리!T212,FIND(" ",발주발송관리!T212)+1,LEN(발주발송관리!T212)-FIND(" ",발주발송관리!T212)+1),0)</f>
        <v>0</v>
      </c>
      <c r="F212" s="16">
        <f>발주발송관리!W212</f>
        <v>0</v>
      </c>
      <c r="G212" s="11">
        <f>발주발송관리!Y212</f>
        <v>0</v>
      </c>
      <c r="H212" s="17">
        <f>발주발송관리!Z212/1.6</f>
        <v>0</v>
      </c>
      <c r="I212" s="10"/>
      <c r="J212" s="10"/>
      <c r="K212" s="11"/>
      <c r="L212" s="11"/>
      <c r="M212" s="16">
        <f>IF(발주발송관리!M212=R212,0,발주발송관리!M212&amp;T212&amp;S212&amp;U212)</f>
        <v>0</v>
      </c>
      <c r="N212" s="16">
        <f>발주발송관리!AZ212</f>
        <v>0</v>
      </c>
      <c r="O212" s="16">
        <f>발주발송관리!AW212</f>
        <v>0</v>
      </c>
      <c r="P212" s="18"/>
      <c r="Q212" s="18">
        <f>발주발송관리!BB212</f>
        <v>0</v>
      </c>
      <c r="S212" s="20" t="str">
        <f t="shared" si="10"/>
        <v/>
      </c>
      <c r="T212" s="20" t="s">
        <v>275</v>
      </c>
      <c r="U212" s="20" t="s">
        <v>285</v>
      </c>
    </row>
    <row r="213" spans="1:23">
      <c r="A213" s="9" t="s">
        <v>295</v>
      </c>
      <c r="B213" s="9" t="s">
        <v>296</v>
      </c>
      <c r="C213" s="16">
        <f t="shared" si="9"/>
        <v>0</v>
      </c>
      <c r="D213" s="16">
        <f>IFERROR(TRIM(LEFT(발주발송관리!T213,FIND(" ",발주발송관리!T213)-1)),0)</f>
        <v>0</v>
      </c>
      <c r="E213" s="16">
        <f>IFERROR(MID(발주발송관리!T213,FIND(" ",발주발송관리!T213)+1,LEN(발주발송관리!T213)-FIND(" ",발주발송관리!T213)+1),0)</f>
        <v>0</v>
      </c>
      <c r="F213" s="16">
        <f>발주발송관리!W213</f>
        <v>0</v>
      </c>
      <c r="G213" s="11">
        <f>발주발송관리!Y213</f>
        <v>0</v>
      </c>
      <c r="H213" s="17">
        <f>발주발송관리!Z213/1.6</f>
        <v>0</v>
      </c>
      <c r="I213" s="10"/>
      <c r="J213" s="10"/>
      <c r="K213" s="11"/>
      <c r="L213" s="11"/>
      <c r="M213" s="16">
        <f>IF(발주발송관리!M213=R213,0,발주발송관리!M213&amp;T213&amp;S213&amp;U213)</f>
        <v>0</v>
      </c>
      <c r="N213" s="16">
        <f>발주발송관리!AZ213</f>
        <v>0</v>
      </c>
      <c r="O213" s="16">
        <f>발주발송관리!AW213</f>
        <v>0</v>
      </c>
      <c r="P213" s="18"/>
      <c r="Q213" s="18">
        <f>발주발송관리!BB213</f>
        <v>0</v>
      </c>
      <c r="S213" s="20" t="str">
        <f t="shared" si="10"/>
        <v/>
      </c>
      <c r="T213" s="20" t="s">
        <v>275</v>
      </c>
      <c r="U213" s="20" t="s">
        <v>285</v>
      </c>
    </row>
    <row r="214" spans="1:23">
      <c r="A214" s="9" t="s">
        <v>295</v>
      </c>
      <c r="B214" s="9" t="s">
        <v>296</v>
      </c>
      <c r="C214" s="16">
        <f t="shared" si="9"/>
        <v>0</v>
      </c>
      <c r="D214" s="16">
        <f>IFERROR(TRIM(LEFT(발주발송관리!T214,FIND(" ",발주발송관리!T214)-1)),0)</f>
        <v>0</v>
      </c>
      <c r="E214" s="16">
        <f>IFERROR(MID(발주발송관리!T214,FIND(" ",발주발송관리!T214)+1,LEN(발주발송관리!T214)-FIND(" ",발주발송관리!T214)+1),0)</f>
        <v>0</v>
      </c>
      <c r="F214" s="16">
        <f>발주발송관리!W214</f>
        <v>0</v>
      </c>
      <c r="G214" s="11">
        <f>발주발송관리!Y214</f>
        <v>0</v>
      </c>
      <c r="H214" s="17">
        <f>발주발송관리!Z214/1.6</f>
        <v>0</v>
      </c>
      <c r="I214" s="10"/>
      <c r="J214" s="10"/>
      <c r="K214" s="11"/>
      <c r="L214" s="11"/>
      <c r="M214" s="16">
        <f>IF(발주발송관리!M214=R214,0,발주발송관리!M214&amp;T214&amp;S214&amp;U214)</f>
        <v>0</v>
      </c>
      <c r="N214" s="16">
        <f>발주발송관리!AZ214</f>
        <v>0</v>
      </c>
      <c r="O214" s="16">
        <f>발주발송관리!AW214</f>
        <v>0</v>
      </c>
      <c r="P214" s="18"/>
      <c r="Q214" s="18">
        <f>발주발송관리!BB214</f>
        <v>0</v>
      </c>
      <c r="S214" s="20" t="str">
        <f t="shared" si="10"/>
        <v/>
      </c>
      <c r="T214" s="20" t="s">
        <v>275</v>
      </c>
      <c r="U214" s="20" t="s">
        <v>285</v>
      </c>
    </row>
    <row r="215" spans="1:23">
      <c r="A215" s="9" t="s">
        <v>295</v>
      </c>
      <c r="B215" s="9" t="s">
        <v>296</v>
      </c>
      <c r="C215" s="16">
        <f t="shared" si="9"/>
        <v>0</v>
      </c>
      <c r="D215" s="16">
        <f>IFERROR(TRIM(LEFT(발주발송관리!T215,FIND(" ",발주발송관리!T215)-1)),0)</f>
        <v>0</v>
      </c>
      <c r="E215" s="16">
        <f>IFERROR(MID(발주발송관리!T215,FIND(" ",발주발송관리!T215)+1,LEN(발주발송관리!T215)-FIND(" ",발주발송관리!T215)+1),0)</f>
        <v>0</v>
      </c>
      <c r="F215" s="16">
        <f>발주발송관리!W215</f>
        <v>0</v>
      </c>
      <c r="G215" s="11">
        <f>발주발송관리!Y215</f>
        <v>0</v>
      </c>
      <c r="H215" s="17">
        <f>발주발송관리!Z215/1.6</f>
        <v>0</v>
      </c>
      <c r="I215" s="10"/>
      <c r="J215" s="10"/>
      <c r="K215" s="11"/>
      <c r="L215" s="11"/>
      <c r="M215" s="16">
        <f>IF(발주발송관리!M215=R215,0,발주발송관리!M215&amp;T215&amp;S215&amp;U215)</f>
        <v>0</v>
      </c>
      <c r="N215" s="16">
        <f>발주발송관리!AZ215</f>
        <v>0</v>
      </c>
      <c r="O215" s="16">
        <f>발주발송관리!AW215</f>
        <v>0</v>
      </c>
      <c r="P215" s="18"/>
      <c r="Q215" s="18">
        <f>발주발송관리!BB215</f>
        <v>0</v>
      </c>
      <c r="S215" s="20" t="str">
        <f t="shared" si="10"/>
        <v/>
      </c>
      <c r="T215" s="20" t="s">
        <v>275</v>
      </c>
      <c r="U215" s="20" t="s">
        <v>285</v>
      </c>
    </row>
    <row r="216" spans="1:23">
      <c r="A216" s="9" t="s">
        <v>295</v>
      </c>
      <c r="B216" s="9" t="s">
        <v>296</v>
      </c>
      <c r="C216" s="16">
        <f t="shared" si="9"/>
        <v>0</v>
      </c>
      <c r="D216" s="16">
        <f>IFERROR(TRIM(LEFT(발주발송관리!T216,FIND(" ",발주발송관리!T216)-1)),0)</f>
        <v>0</v>
      </c>
      <c r="E216" s="16">
        <f>IFERROR(MID(발주발송관리!T216,FIND(" ",발주발송관리!T216)+1,LEN(발주발송관리!T216)-FIND(" ",발주발송관리!T216)+1),0)</f>
        <v>0</v>
      </c>
      <c r="F216" s="16">
        <f>발주발송관리!W216</f>
        <v>0</v>
      </c>
      <c r="G216" s="11">
        <f>발주발송관리!Y216</f>
        <v>0</v>
      </c>
      <c r="H216" s="17">
        <f>발주발송관리!Z216/1.6</f>
        <v>0</v>
      </c>
      <c r="I216" s="10"/>
      <c r="J216" s="10"/>
      <c r="K216" s="11"/>
      <c r="L216" s="11"/>
      <c r="M216" s="16">
        <f>IF(발주발송관리!M216=R216,0,발주발송관리!M216&amp;T216&amp;S216&amp;U216)</f>
        <v>0</v>
      </c>
      <c r="N216" s="16">
        <f>발주발송관리!AZ216</f>
        <v>0</v>
      </c>
      <c r="O216" s="16">
        <f>발주발송관리!AW216</f>
        <v>0</v>
      </c>
      <c r="P216" s="18"/>
      <c r="Q216" s="18">
        <f>발주발송관리!BB216</f>
        <v>0</v>
      </c>
      <c r="S216" s="20" t="str">
        <f t="shared" si="10"/>
        <v/>
      </c>
      <c r="T216" s="20" t="s">
        <v>275</v>
      </c>
      <c r="U216" s="20" t="s">
        <v>285</v>
      </c>
    </row>
    <row r="217" spans="1:23">
      <c r="A217" s="9" t="s">
        <v>295</v>
      </c>
      <c r="B217" s="9" t="s">
        <v>296</v>
      </c>
      <c r="C217" s="16">
        <f t="shared" si="9"/>
        <v>0</v>
      </c>
      <c r="D217" s="16">
        <f>IFERROR(TRIM(LEFT(발주발송관리!T217,FIND(" ",발주발송관리!T217)-1)),0)</f>
        <v>0</v>
      </c>
      <c r="E217" s="16">
        <f>IFERROR(MID(발주발송관리!T217,FIND(" ",발주발송관리!T217)+1,LEN(발주발송관리!T217)-FIND(" ",발주발송관리!T217)+1),0)</f>
        <v>0</v>
      </c>
      <c r="F217" s="16">
        <f>발주발송관리!W217</f>
        <v>0</v>
      </c>
      <c r="G217" s="11">
        <f>발주발송관리!Y217</f>
        <v>0</v>
      </c>
      <c r="H217" s="17">
        <f>발주발송관리!Z217/1.6</f>
        <v>0</v>
      </c>
      <c r="I217" s="10"/>
      <c r="J217" s="10"/>
      <c r="K217" s="11"/>
      <c r="L217" s="11"/>
      <c r="M217" s="16">
        <f>IF(발주발송관리!M217=R217,0,발주발송관리!M217&amp;T217&amp;S217&amp;U217)</f>
        <v>0</v>
      </c>
      <c r="N217" s="16">
        <f>발주발송관리!AZ217</f>
        <v>0</v>
      </c>
      <c r="O217" s="16">
        <f>발주발송관리!AW217</f>
        <v>0</v>
      </c>
      <c r="P217" s="18"/>
      <c r="Q217" s="18">
        <f>발주발송관리!BB217</f>
        <v>0</v>
      </c>
      <c r="S217" s="20" t="str">
        <f t="shared" si="10"/>
        <v/>
      </c>
      <c r="T217" s="20" t="s">
        <v>275</v>
      </c>
      <c r="U217" s="20" t="s">
        <v>285</v>
      </c>
    </row>
    <row r="218" spans="1:23">
      <c r="A218" s="9" t="s">
        <v>295</v>
      </c>
      <c r="B218" s="9" t="s">
        <v>296</v>
      </c>
      <c r="C218" s="16">
        <f t="shared" si="9"/>
        <v>0</v>
      </c>
      <c r="D218" s="16">
        <f>IFERROR(TRIM(LEFT(발주발송관리!T218,FIND(" ",발주발송관리!T218)-1)),0)</f>
        <v>0</v>
      </c>
      <c r="E218" s="16">
        <f>IFERROR(MID(발주발송관리!T218,FIND(" ",발주발송관리!T218)+1,LEN(발주발송관리!T218)-FIND(" ",발주발송관리!T218)+1),0)</f>
        <v>0</v>
      </c>
      <c r="F218" s="16">
        <f>발주발송관리!W218</f>
        <v>0</v>
      </c>
      <c r="G218" s="11">
        <f>발주발송관리!Y218</f>
        <v>0</v>
      </c>
      <c r="H218" s="17">
        <f>발주발송관리!Z218/1.6</f>
        <v>0</v>
      </c>
      <c r="I218" s="10"/>
      <c r="J218" s="10"/>
      <c r="K218" s="11"/>
      <c r="L218" s="11"/>
      <c r="M218" s="16">
        <f>IF(발주발송관리!M218=R218,0,발주발송관리!M218&amp;T218&amp;S218&amp;U218)</f>
        <v>0</v>
      </c>
      <c r="N218" s="16">
        <f>발주발송관리!AZ218</f>
        <v>0</v>
      </c>
      <c r="O218" s="16">
        <f>발주발송관리!AW218</f>
        <v>0</v>
      </c>
      <c r="P218" s="18"/>
      <c r="Q218" s="18">
        <f>발주발송관리!BB218</f>
        <v>0</v>
      </c>
      <c r="S218" s="20" t="str">
        <f t="shared" si="10"/>
        <v/>
      </c>
      <c r="T218" s="20" t="s">
        <v>275</v>
      </c>
      <c r="U218" s="20" t="s">
        <v>285</v>
      </c>
    </row>
    <row r="219" spans="1:23">
      <c r="A219" s="9" t="s">
        <v>295</v>
      </c>
      <c r="B219" s="9" t="s">
        <v>296</v>
      </c>
      <c r="C219" s="16">
        <f t="shared" si="9"/>
        <v>0</v>
      </c>
      <c r="D219" s="16">
        <f>IFERROR(TRIM(LEFT(발주발송관리!T219,FIND(" ",발주발송관리!T219)-1)),0)</f>
        <v>0</v>
      </c>
      <c r="E219" s="16">
        <f>IFERROR(MID(발주발송관리!T219,FIND(" ",발주발송관리!T219)+1,LEN(발주발송관리!T219)-FIND(" ",발주발송관리!T219)+1),0)</f>
        <v>0</v>
      </c>
      <c r="F219" s="16">
        <f>발주발송관리!W219</f>
        <v>0</v>
      </c>
      <c r="G219" s="11">
        <f>발주발송관리!Y219</f>
        <v>0</v>
      </c>
      <c r="H219" s="17">
        <f>발주발송관리!Z219/1.6</f>
        <v>0</v>
      </c>
      <c r="I219" s="10"/>
      <c r="J219" s="10"/>
      <c r="K219" s="11"/>
      <c r="L219" s="11"/>
      <c r="M219" s="16">
        <f>IF(발주발송관리!M219=R219,0,발주발송관리!M219&amp;T219&amp;S219&amp;U219)</f>
        <v>0</v>
      </c>
      <c r="N219" s="16">
        <f>발주발송관리!AZ219</f>
        <v>0</v>
      </c>
      <c r="O219" s="16">
        <f>발주발송관리!AW219</f>
        <v>0</v>
      </c>
      <c r="P219" s="18"/>
      <c r="Q219" s="18">
        <f>발주발송관리!BB219</f>
        <v>0</v>
      </c>
      <c r="S219" s="20" t="str">
        <f t="shared" si="10"/>
        <v/>
      </c>
      <c r="T219" s="20" t="s">
        <v>275</v>
      </c>
      <c r="U219" s="20" t="s">
        <v>285</v>
      </c>
    </row>
    <row r="220" spans="1:23">
      <c r="A220" s="9" t="s">
        <v>295</v>
      </c>
      <c r="B220" s="9" t="s">
        <v>296</v>
      </c>
      <c r="C220" s="16">
        <f t="shared" si="9"/>
        <v>0</v>
      </c>
      <c r="D220" s="16">
        <f>IFERROR(TRIM(LEFT(발주발송관리!T220,FIND(" ",발주발송관리!T220)-1)),0)</f>
        <v>0</v>
      </c>
      <c r="E220" s="16">
        <f>IFERROR(MID(발주발송관리!T220,FIND(" ",발주발송관리!T220)+1,LEN(발주발송관리!T220)-FIND(" ",발주발송관리!T220)+1),0)</f>
        <v>0</v>
      </c>
      <c r="F220" s="16">
        <f>발주발송관리!W220</f>
        <v>0</v>
      </c>
      <c r="G220" s="11">
        <f>발주발송관리!Y220</f>
        <v>0</v>
      </c>
      <c r="H220" s="17">
        <f>발주발송관리!Z220/1.6</f>
        <v>0</v>
      </c>
      <c r="I220" s="10"/>
      <c r="J220" s="10"/>
      <c r="K220" s="11"/>
      <c r="L220" s="11"/>
      <c r="M220" s="16">
        <f>IF(발주발송관리!M220=R220,0,발주발송관리!M220&amp;T220&amp;S220&amp;U220)</f>
        <v>0</v>
      </c>
      <c r="N220" s="16">
        <f>발주발송관리!AZ220</f>
        <v>0</v>
      </c>
      <c r="O220" s="16">
        <f>발주발송관리!AW220</f>
        <v>0</v>
      </c>
      <c r="P220" s="18"/>
      <c r="Q220" s="18">
        <f>발주발송관리!BB220</f>
        <v>0</v>
      </c>
      <c r="S220" s="20" t="str">
        <f t="shared" si="10"/>
        <v/>
      </c>
      <c r="T220" s="20" t="s">
        <v>275</v>
      </c>
      <c r="U220" s="20" t="s">
        <v>285</v>
      </c>
    </row>
    <row r="221" spans="1:23">
      <c r="A221" s="9" t="s">
        <v>295</v>
      </c>
      <c r="B221" s="9" t="s">
        <v>296</v>
      </c>
      <c r="C221" s="16">
        <f t="shared" si="9"/>
        <v>0</v>
      </c>
      <c r="D221" s="16">
        <f>IFERROR(TRIM(LEFT(발주발송관리!T221,FIND(" ",발주발송관리!T221)-1)),0)</f>
        <v>0</v>
      </c>
      <c r="E221" s="16">
        <f>IFERROR(MID(발주발송관리!T221,FIND(" ",발주발송관리!T221)+1,LEN(발주발송관리!T221)-FIND(" ",발주발송관리!T221)+1),0)</f>
        <v>0</v>
      </c>
      <c r="F221" s="16">
        <f>발주발송관리!W221</f>
        <v>0</v>
      </c>
      <c r="G221" s="11">
        <f>발주발송관리!Y221</f>
        <v>0</v>
      </c>
      <c r="H221" s="17">
        <f>발주발송관리!Z221/1.6</f>
        <v>0</v>
      </c>
      <c r="I221" s="10"/>
      <c r="J221" s="10"/>
      <c r="K221" s="11"/>
      <c r="L221" s="11"/>
      <c r="M221" s="16">
        <f>IF(발주발송관리!M221=R221,0,발주발송관리!M221&amp;T221&amp;S221&amp;U221)</f>
        <v>0</v>
      </c>
      <c r="N221" s="16">
        <f>발주발송관리!AZ221</f>
        <v>0</v>
      </c>
      <c r="O221" s="16">
        <f>발주발송관리!AW221</f>
        <v>0</v>
      </c>
      <c r="P221" s="18"/>
      <c r="Q221" s="18">
        <f>발주발송관리!BB221</f>
        <v>0</v>
      </c>
      <c r="S221" s="20" t="str">
        <f t="shared" si="10"/>
        <v/>
      </c>
      <c r="T221" s="20" t="s">
        <v>275</v>
      </c>
      <c r="U221" s="20" t="s">
        <v>285</v>
      </c>
    </row>
    <row r="222" spans="1:23">
      <c r="A222" s="9" t="s">
        <v>295</v>
      </c>
      <c r="B222" s="9" t="s">
        <v>296</v>
      </c>
      <c r="C222" s="16">
        <f t="shared" si="9"/>
        <v>0</v>
      </c>
      <c r="D222" s="16">
        <f>IFERROR(TRIM(LEFT(발주발송관리!T222,FIND(" ",발주발송관리!T222)-1)),0)</f>
        <v>0</v>
      </c>
      <c r="E222" s="16">
        <f>IFERROR(MID(발주발송관리!T222,FIND(" ",발주발송관리!T222)+1,LEN(발주발송관리!T222)-FIND(" ",발주발송관리!T222)+1),0)</f>
        <v>0</v>
      </c>
      <c r="F222" s="16">
        <f>발주발송관리!W222</f>
        <v>0</v>
      </c>
      <c r="G222" s="11">
        <f>발주발송관리!Y222</f>
        <v>0</v>
      </c>
      <c r="H222" s="17">
        <f>발주발송관리!Z222/1.6</f>
        <v>0</v>
      </c>
      <c r="I222" s="10"/>
      <c r="J222" s="10"/>
      <c r="K222" s="11"/>
      <c r="L222" s="11"/>
      <c r="M222" s="16">
        <f>IF(발주발송관리!M222=R222,0,발주발송관리!M222&amp;T222&amp;S222&amp;U222)</f>
        <v>0</v>
      </c>
      <c r="N222" s="16">
        <f>발주발송관리!AZ222</f>
        <v>0</v>
      </c>
      <c r="O222" s="16">
        <f>발주발송관리!AW222</f>
        <v>0</v>
      </c>
      <c r="P222" s="18"/>
      <c r="Q222" s="18">
        <f>발주발송관리!BB222</f>
        <v>0</v>
      </c>
      <c r="S222" s="20" t="str">
        <f t="shared" si="10"/>
        <v/>
      </c>
      <c r="T222" s="20" t="s">
        <v>275</v>
      </c>
      <c r="U222" s="20" t="s">
        <v>285</v>
      </c>
    </row>
    <row r="223" spans="1:23">
      <c r="A223" s="9" t="s">
        <v>295</v>
      </c>
      <c r="B223" s="9" t="s">
        <v>296</v>
      </c>
      <c r="C223" s="16">
        <f t="shared" si="9"/>
        <v>0</v>
      </c>
      <c r="D223" s="16">
        <f>IFERROR(TRIM(LEFT(발주발송관리!T223,FIND(" ",발주발송관리!T223)-1)),0)</f>
        <v>0</v>
      </c>
      <c r="E223" s="16">
        <f>IFERROR(MID(발주발송관리!T223,FIND(" ",발주발송관리!T223)+1,LEN(발주발송관리!T223)-FIND(" ",발주발송관리!T223)+1),0)</f>
        <v>0</v>
      </c>
      <c r="F223" s="16">
        <f>발주발송관리!W223</f>
        <v>0</v>
      </c>
      <c r="G223" s="11">
        <f>발주발송관리!Y223</f>
        <v>0</v>
      </c>
      <c r="H223" s="17">
        <f>발주발송관리!Z223/1.6</f>
        <v>0</v>
      </c>
      <c r="I223" s="10"/>
      <c r="J223" s="10"/>
      <c r="K223" s="11"/>
      <c r="L223" s="11"/>
      <c r="M223" s="16">
        <f>IF(발주발송관리!M223=R223,0,발주발송관리!M223&amp;T223&amp;S223&amp;U223)</f>
        <v>0</v>
      </c>
      <c r="N223" s="16">
        <f>발주발송관리!AZ223</f>
        <v>0</v>
      </c>
      <c r="O223" s="16">
        <f>발주발송관리!AW223</f>
        <v>0</v>
      </c>
      <c r="P223" s="18"/>
      <c r="Q223" s="18">
        <f>발주발송관리!BB223</f>
        <v>0</v>
      </c>
      <c r="S223" s="20" t="str">
        <f t="shared" si="10"/>
        <v/>
      </c>
      <c r="T223" s="20" t="s">
        <v>275</v>
      </c>
      <c r="U223" s="20" t="s">
        <v>285</v>
      </c>
    </row>
    <row r="224" spans="1:23">
      <c r="A224" s="9" t="s">
        <v>295</v>
      </c>
      <c r="B224" s="9" t="s">
        <v>296</v>
      </c>
      <c r="C224" s="16">
        <f t="shared" si="9"/>
        <v>0</v>
      </c>
      <c r="D224" s="16">
        <f>IFERROR(TRIM(LEFT(발주발송관리!T224,FIND(" ",발주발송관리!T224)-1)),0)</f>
        <v>0</v>
      </c>
      <c r="E224" s="16">
        <f>IFERROR(MID(발주발송관리!T224,FIND(" ",발주발송관리!T224)+1,LEN(발주발송관리!T224)-FIND(" ",발주발송관리!T224)+1),0)</f>
        <v>0</v>
      </c>
      <c r="F224" s="16">
        <f>발주발송관리!W224</f>
        <v>0</v>
      </c>
      <c r="G224" s="11">
        <f>발주발송관리!Y224</f>
        <v>0</v>
      </c>
      <c r="H224" s="17">
        <f>발주발송관리!Z224/1.6</f>
        <v>0</v>
      </c>
      <c r="I224" s="10"/>
      <c r="J224" s="10"/>
      <c r="K224" s="11"/>
      <c r="L224" s="11"/>
      <c r="M224" s="16">
        <f>IF(발주발송관리!M224=R224,0,발주발송관리!M224&amp;T224&amp;S224&amp;U224)</f>
        <v>0</v>
      </c>
      <c r="N224" s="16">
        <f>발주발송관리!AZ224</f>
        <v>0</v>
      </c>
      <c r="O224" s="16">
        <f>발주발송관리!AW224</f>
        <v>0</v>
      </c>
      <c r="P224" s="18"/>
      <c r="Q224" s="18">
        <f>발주발송관리!BB224</f>
        <v>0</v>
      </c>
      <c r="S224" s="20" t="str">
        <f t="shared" si="10"/>
        <v/>
      </c>
      <c r="T224" s="20" t="s">
        <v>275</v>
      </c>
      <c r="U224" s="20" t="s">
        <v>285</v>
      </c>
    </row>
    <row r="225" spans="1:21">
      <c r="A225" s="9" t="s">
        <v>295</v>
      </c>
      <c r="B225" s="9" t="s">
        <v>296</v>
      </c>
      <c r="C225" s="16">
        <f t="shared" si="9"/>
        <v>0</v>
      </c>
      <c r="D225" s="16">
        <f>IFERROR(TRIM(LEFT(발주발송관리!T225,FIND(" ",발주발송관리!T225)-1)),0)</f>
        <v>0</v>
      </c>
      <c r="E225" s="16">
        <f>IFERROR(MID(발주발송관리!T225,FIND(" ",발주발송관리!T225)+1,LEN(발주발송관리!T225)-FIND(" ",발주발송관리!T225)+1),0)</f>
        <v>0</v>
      </c>
      <c r="F225" s="16">
        <f>발주발송관리!W225</f>
        <v>0</v>
      </c>
      <c r="G225" s="11">
        <f>발주발송관리!Y225</f>
        <v>0</v>
      </c>
      <c r="H225" s="17">
        <f>발주발송관리!Z225/1.6</f>
        <v>0</v>
      </c>
      <c r="I225" s="10"/>
      <c r="J225" s="10"/>
      <c r="K225" s="11"/>
      <c r="L225" s="11"/>
      <c r="M225" s="16">
        <f>IF(발주발송관리!M225=R225,0,발주발송관리!M225&amp;T225&amp;S225&amp;U225)</f>
        <v>0</v>
      </c>
      <c r="N225" s="16">
        <f>발주발송관리!AZ225</f>
        <v>0</v>
      </c>
      <c r="O225" s="16">
        <f>발주발송관리!AW225</f>
        <v>0</v>
      </c>
      <c r="P225" s="18"/>
      <c r="Q225" s="18">
        <f>발주발송관리!BB225</f>
        <v>0</v>
      </c>
      <c r="S225" s="20" t="str">
        <f t="shared" si="10"/>
        <v/>
      </c>
      <c r="T225" s="20" t="s">
        <v>275</v>
      </c>
      <c r="U225" s="20" t="s">
        <v>285</v>
      </c>
    </row>
    <row r="226" spans="1:21">
      <c r="A226" s="9" t="s">
        <v>295</v>
      </c>
      <c r="B226" s="9" t="s">
        <v>296</v>
      </c>
      <c r="C226" s="16">
        <f t="shared" si="9"/>
        <v>0</v>
      </c>
      <c r="D226" s="16">
        <f>IFERROR(TRIM(LEFT(발주발송관리!T226,FIND(" ",발주발송관리!T226)-1)),0)</f>
        <v>0</v>
      </c>
      <c r="E226" s="16">
        <f>IFERROR(MID(발주발송관리!T226,FIND(" ",발주발송관리!T226)+1,LEN(발주발송관리!T226)-FIND(" ",발주발송관리!T226)+1),0)</f>
        <v>0</v>
      </c>
      <c r="F226" s="16">
        <f>발주발송관리!W226</f>
        <v>0</v>
      </c>
      <c r="G226" s="11">
        <f>발주발송관리!Y226</f>
        <v>0</v>
      </c>
      <c r="H226" s="17">
        <f>발주발송관리!Z226/1.6</f>
        <v>0</v>
      </c>
      <c r="I226" s="10"/>
      <c r="J226" s="10"/>
      <c r="K226" s="11"/>
      <c r="L226" s="11"/>
      <c r="M226" s="16">
        <f>IF(발주발송관리!M226=R226,0,발주발송관리!M226&amp;T226&amp;S226&amp;U226)</f>
        <v>0</v>
      </c>
      <c r="N226" s="16">
        <f>발주발송관리!AZ226</f>
        <v>0</v>
      </c>
      <c r="O226" s="16">
        <f>발주발송관리!AW226</f>
        <v>0</v>
      </c>
      <c r="P226" s="18"/>
      <c r="Q226" s="18">
        <f>발주발송관리!BB226</f>
        <v>0</v>
      </c>
      <c r="S226" s="20" t="str">
        <f t="shared" si="10"/>
        <v/>
      </c>
      <c r="T226" s="20" t="s">
        <v>275</v>
      </c>
      <c r="U226" s="20" t="s">
        <v>285</v>
      </c>
    </row>
    <row r="227" spans="1:21">
      <c r="A227" s="9" t="s">
        <v>295</v>
      </c>
      <c r="B227" s="9" t="s">
        <v>296</v>
      </c>
      <c r="C227" s="16">
        <f t="shared" si="9"/>
        <v>0</v>
      </c>
      <c r="D227" s="16">
        <f>IFERROR(TRIM(LEFT(발주발송관리!T227,FIND(" ",발주발송관리!T227)-1)),0)</f>
        <v>0</v>
      </c>
      <c r="E227" s="16">
        <f>IFERROR(MID(발주발송관리!T227,FIND(" ",발주발송관리!T227)+1,LEN(발주발송관리!T227)-FIND(" ",발주발송관리!T227)+1),0)</f>
        <v>0</v>
      </c>
      <c r="F227" s="16">
        <f>발주발송관리!W227</f>
        <v>0</v>
      </c>
      <c r="G227" s="11">
        <f>발주발송관리!Y227</f>
        <v>0</v>
      </c>
      <c r="H227" s="17">
        <f>발주발송관리!Z227/1.6</f>
        <v>0</v>
      </c>
      <c r="I227" s="10"/>
      <c r="J227" s="10"/>
      <c r="K227" s="11"/>
      <c r="L227" s="11"/>
      <c r="M227" s="16">
        <f>IF(발주발송관리!M227=R227,0,발주발송관리!M227&amp;T227&amp;S227&amp;U227)</f>
        <v>0</v>
      </c>
      <c r="N227" s="16">
        <f>발주발송관리!AZ227</f>
        <v>0</v>
      </c>
      <c r="O227" s="16">
        <f>발주발송관리!AW227</f>
        <v>0</v>
      </c>
      <c r="P227" s="18"/>
      <c r="Q227" s="18">
        <f>발주발송관리!BB227</f>
        <v>0</v>
      </c>
      <c r="S227" s="20" t="str">
        <f t="shared" si="10"/>
        <v/>
      </c>
      <c r="T227" s="20" t="s">
        <v>275</v>
      </c>
      <c r="U227" s="20" t="s">
        <v>285</v>
      </c>
    </row>
    <row r="228" spans="1:21">
      <c r="A228" s="9" t="s">
        <v>295</v>
      </c>
      <c r="B228" s="9" t="s">
        <v>296</v>
      </c>
      <c r="C228" s="16">
        <f t="shared" si="9"/>
        <v>0</v>
      </c>
      <c r="D228" s="16">
        <f>IFERROR(TRIM(LEFT(발주발송관리!T228,FIND(" ",발주발송관리!T228)-1)),0)</f>
        <v>0</v>
      </c>
      <c r="E228" s="16">
        <f>IFERROR(MID(발주발송관리!T228,FIND(" ",발주발송관리!T228)+1,LEN(발주발송관리!T228)-FIND(" ",발주발송관리!T228)+1),0)</f>
        <v>0</v>
      </c>
      <c r="F228" s="16">
        <f>발주발송관리!W228</f>
        <v>0</v>
      </c>
      <c r="G228" s="11">
        <f>발주발송관리!Y228</f>
        <v>0</v>
      </c>
      <c r="H228" s="17">
        <f>발주발송관리!Z228/1.6</f>
        <v>0</v>
      </c>
      <c r="I228" s="10"/>
      <c r="J228" s="10"/>
      <c r="K228" s="11"/>
      <c r="L228" s="11"/>
      <c r="M228" s="16">
        <f>IF(발주발송관리!M228=R228,0,발주발송관리!M228&amp;T228&amp;S228&amp;U228)</f>
        <v>0</v>
      </c>
      <c r="N228" s="16">
        <f>발주발송관리!AZ228</f>
        <v>0</v>
      </c>
      <c r="O228" s="16">
        <f>발주발송관리!AW228</f>
        <v>0</v>
      </c>
      <c r="P228" s="18"/>
      <c r="Q228" s="18">
        <f>발주발송관리!BB228</f>
        <v>0</v>
      </c>
      <c r="S228" s="20" t="str">
        <f t="shared" si="10"/>
        <v/>
      </c>
      <c r="T228" s="20" t="s">
        <v>275</v>
      </c>
      <c r="U228" s="20" t="s">
        <v>285</v>
      </c>
    </row>
    <row r="229" spans="1:21">
      <c r="A229" s="9" t="s">
        <v>295</v>
      </c>
      <c r="B229" s="9" t="s">
        <v>296</v>
      </c>
      <c r="C229" s="16">
        <f t="shared" si="9"/>
        <v>0</v>
      </c>
      <c r="D229" s="16">
        <f>IFERROR(TRIM(LEFT(발주발송관리!T229,FIND(" ",발주발송관리!T229)-1)),0)</f>
        <v>0</v>
      </c>
      <c r="E229" s="16">
        <f>IFERROR(MID(발주발송관리!T229,FIND(" ",발주발송관리!T229)+1,LEN(발주발송관리!T229)-FIND(" ",발주발송관리!T229)+1),0)</f>
        <v>0</v>
      </c>
      <c r="F229" s="16">
        <f>발주발송관리!W229</f>
        <v>0</v>
      </c>
      <c r="G229" s="11">
        <f>발주발송관리!Y229</f>
        <v>0</v>
      </c>
      <c r="H229" s="17">
        <f>발주발송관리!Z229/1.6</f>
        <v>0</v>
      </c>
      <c r="I229" s="10"/>
      <c r="J229" s="10"/>
      <c r="K229" s="11"/>
      <c r="L229" s="11"/>
      <c r="M229" s="16">
        <f>IF(발주발송관리!M229=R229,0,발주발송관리!M229&amp;T229&amp;S229&amp;U229)</f>
        <v>0</v>
      </c>
      <c r="N229" s="16">
        <f>발주발송관리!AZ229</f>
        <v>0</v>
      </c>
      <c r="O229" s="16">
        <f>발주발송관리!AW229</f>
        <v>0</v>
      </c>
      <c r="P229" s="18"/>
      <c r="Q229" s="18">
        <f>발주발송관리!BB229</f>
        <v>0</v>
      </c>
      <c r="S229" s="20" t="str">
        <f t="shared" si="10"/>
        <v/>
      </c>
      <c r="T229" s="20" t="s">
        <v>275</v>
      </c>
      <c r="U229" s="20" t="s">
        <v>285</v>
      </c>
    </row>
    <row r="230" spans="1:21">
      <c r="A230" s="9" t="s">
        <v>295</v>
      </c>
      <c r="B230" s="9" t="s">
        <v>296</v>
      </c>
      <c r="C230" s="16">
        <f t="shared" si="9"/>
        <v>0</v>
      </c>
      <c r="D230" s="16">
        <f>IFERROR(TRIM(LEFT(발주발송관리!T230,FIND(" ",발주발송관리!T230)-1)),0)</f>
        <v>0</v>
      </c>
      <c r="E230" s="16">
        <f>IFERROR(MID(발주발송관리!T230,FIND(" ",발주발송관리!T230)+1,LEN(발주발송관리!T230)-FIND(" ",발주발송관리!T230)+1),0)</f>
        <v>0</v>
      </c>
      <c r="F230" s="16">
        <f>발주발송관리!W230</f>
        <v>0</v>
      </c>
      <c r="G230" s="11">
        <f>발주발송관리!Y230</f>
        <v>0</v>
      </c>
      <c r="H230" s="17">
        <f>발주발송관리!Z230/1.6</f>
        <v>0</v>
      </c>
      <c r="I230" s="10"/>
      <c r="J230" s="10"/>
      <c r="K230" s="11"/>
      <c r="L230" s="11"/>
      <c r="M230" s="16">
        <f>IF(발주발송관리!M230=R230,0,발주발송관리!M230&amp;T230&amp;S230&amp;U230)</f>
        <v>0</v>
      </c>
      <c r="N230" s="16">
        <f>발주발송관리!AZ230</f>
        <v>0</v>
      </c>
      <c r="O230" s="16">
        <f>발주발송관리!AW230</f>
        <v>0</v>
      </c>
      <c r="P230" s="18"/>
      <c r="Q230" s="18">
        <f>발주발송관리!BB230</f>
        <v>0</v>
      </c>
      <c r="S230" s="20" t="str">
        <f t="shared" si="10"/>
        <v/>
      </c>
      <c r="T230" s="20" t="s">
        <v>275</v>
      </c>
      <c r="U230" s="20" t="s">
        <v>285</v>
      </c>
    </row>
    <row r="231" spans="1:21">
      <c r="A231" s="9" t="s">
        <v>295</v>
      </c>
      <c r="B231" s="9" t="s">
        <v>296</v>
      </c>
      <c r="C231" s="16">
        <f t="shared" si="9"/>
        <v>0</v>
      </c>
      <c r="D231" s="16">
        <f>IFERROR(TRIM(LEFT(발주발송관리!T231,FIND(" ",발주발송관리!T231)-1)),0)</f>
        <v>0</v>
      </c>
      <c r="E231" s="16">
        <f>IFERROR(MID(발주발송관리!T231,FIND(" ",발주발송관리!T231)+1,LEN(발주발송관리!T231)-FIND(" ",발주발송관리!T231)+1),0)</f>
        <v>0</v>
      </c>
      <c r="F231" s="16">
        <f>발주발송관리!W231</f>
        <v>0</v>
      </c>
      <c r="G231" s="11">
        <f>발주발송관리!Y231</f>
        <v>0</v>
      </c>
      <c r="H231" s="17">
        <f>발주발송관리!Z231/1.6</f>
        <v>0</v>
      </c>
      <c r="I231" s="10"/>
      <c r="J231" s="10"/>
      <c r="K231" s="11"/>
      <c r="L231" s="11"/>
      <c r="M231" s="16">
        <f>IF(발주발송관리!M231=R231,0,발주발송관리!M231&amp;T231&amp;S231&amp;U231)</f>
        <v>0</v>
      </c>
      <c r="N231" s="16">
        <f>발주발송관리!AZ231</f>
        <v>0</v>
      </c>
      <c r="O231" s="16">
        <f>발주발송관리!AW231</f>
        <v>0</v>
      </c>
      <c r="P231" s="18"/>
      <c r="Q231" s="18">
        <f>발주발송관리!BB231</f>
        <v>0</v>
      </c>
      <c r="S231" s="20" t="str">
        <f t="shared" si="10"/>
        <v/>
      </c>
      <c r="T231" s="20" t="s">
        <v>275</v>
      </c>
      <c r="U231" s="20" t="s">
        <v>285</v>
      </c>
    </row>
    <row r="232" spans="1:21">
      <c r="A232" s="9" t="s">
        <v>295</v>
      </c>
      <c r="B232" s="9" t="s">
        <v>296</v>
      </c>
      <c r="C232" s="16">
        <f t="shared" si="9"/>
        <v>0</v>
      </c>
      <c r="D232" s="16">
        <f>IFERROR(TRIM(LEFT(발주발송관리!T232,FIND(" ",발주발송관리!T232)-1)),0)</f>
        <v>0</v>
      </c>
      <c r="E232" s="16">
        <f>IFERROR(MID(발주발송관리!T232,FIND(" ",발주발송관리!T232)+1,LEN(발주발송관리!T232)-FIND(" ",발주발송관리!T232)+1),0)</f>
        <v>0</v>
      </c>
      <c r="F232" s="16">
        <f>발주발송관리!W232</f>
        <v>0</v>
      </c>
      <c r="G232" s="11">
        <f>발주발송관리!Y232</f>
        <v>0</v>
      </c>
      <c r="H232" s="17">
        <f>발주발송관리!Z232/1.6</f>
        <v>0</v>
      </c>
      <c r="I232" s="10"/>
      <c r="J232" s="10"/>
      <c r="K232" s="11"/>
      <c r="L232" s="11"/>
      <c r="M232" s="16">
        <f>IF(발주발송관리!M232=R232,0,발주발송관리!M232&amp;T232&amp;S232&amp;U232)</f>
        <v>0</v>
      </c>
      <c r="N232" s="16">
        <f>발주발송관리!AZ232</f>
        <v>0</v>
      </c>
      <c r="O232" s="16">
        <f>발주발송관리!AW232</f>
        <v>0</v>
      </c>
      <c r="P232" s="18"/>
      <c r="Q232" s="18">
        <f>발주발송관리!BB232</f>
        <v>0</v>
      </c>
      <c r="S232" s="20" t="str">
        <f t="shared" si="10"/>
        <v/>
      </c>
      <c r="T232" s="20" t="s">
        <v>275</v>
      </c>
      <c r="U232" s="20" t="s">
        <v>285</v>
      </c>
    </row>
    <row r="233" spans="1:21">
      <c r="A233" s="9" t="s">
        <v>295</v>
      </c>
      <c r="B233" s="9" t="s">
        <v>296</v>
      </c>
      <c r="C233" s="16">
        <f t="shared" si="9"/>
        <v>0</v>
      </c>
      <c r="D233" s="16">
        <f>IFERROR(TRIM(LEFT(발주발송관리!T233,FIND(" ",발주발송관리!T233)-1)),0)</f>
        <v>0</v>
      </c>
      <c r="E233" s="16">
        <f>IFERROR(MID(발주발송관리!T233,FIND(" ",발주발송관리!T233)+1,LEN(발주발송관리!T233)-FIND(" ",발주발송관리!T233)+1),0)</f>
        <v>0</v>
      </c>
      <c r="F233" s="16">
        <f>발주발송관리!W233</f>
        <v>0</v>
      </c>
      <c r="G233" s="11">
        <f>발주발송관리!Y233</f>
        <v>0</v>
      </c>
      <c r="H233" s="17">
        <f>발주발송관리!Z233/1.6</f>
        <v>0</v>
      </c>
      <c r="I233" s="10"/>
      <c r="J233" s="10"/>
      <c r="K233" s="11"/>
      <c r="L233" s="11"/>
      <c r="M233" s="16">
        <f>IF(발주발송관리!M233=R233,0,발주발송관리!M233&amp;T233&amp;S233&amp;U233)</f>
        <v>0</v>
      </c>
      <c r="N233" s="16">
        <f>발주발송관리!AZ233</f>
        <v>0</v>
      </c>
      <c r="O233" s="16">
        <f>발주발송관리!AW233</f>
        <v>0</v>
      </c>
      <c r="P233" s="18"/>
      <c r="Q233" s="18">
        <f>발주발송관리!BB233</f>
        <v>0</v>
      </c>
      <c r="S233" s="20" t="str">
        <f t="shared" si="10"/>
        <v/>
      </c>
      <c r="T233" s="20" t="s">
        <v>275</v>
      </c>
      <c r="U233" s="20" t="s">
        <v>285</v>
      </c>
    </row>
    <row r="234" spans="1:21">
      <c r="A234" s="9" t="s">
        <v>295</v>
      </c>
      <c r="B234" s="9" t="s">
        <v>296</v>
      </c>
      <c r="C234" s="16">
        <f t="shared" si="9"/>
        <v>0</v>
      </c>
      <c r="D234" s="16">
        <f>IFERROR(TRIM(LEFT(발주발송관리!T234,FIND(" ",발주발송관리!T234)-1)),0)</f>
        <v>0</v>
      </c>
      <c r="E234" s="16">
        <f>IFERROR(MID(발주발송관리!T234,FIND(" ",발주발송관리!T234)+1,LEN(발주발송관리!T234)-FIND(" ",발주발송관리!T234)+1),0)</f>
        <v>0</v>
      </c>
      <c r="F234" s="16">
        <f>발주발송관리!W234</f>
        <v>0</v>
      </c>
      <c r="G234" s="11">
        <f>발주발송관리!Y234</f>
        <v>0</v>
      </c>
      <c r="H234" s="17">
        <f>발주발송관리!Z234/1.6</f>
        <v>0</v>
      </c>
      <c r="I234" s="10"/>
      <c r="J234" s="10"/>
      <c r="K234" s="11"/>
      <c r="L234" s="11"/>
      <c r="M234" s="16">
        <f>IF(발주발송관리!M234=R234,0,발주발송관리!M234&amp;T234&amp;S234&amp;U234)</f>
        <v>0</v>
      </c>
      <c r="N234" s="16">
        <f>발주발송관리!AZ234</f>
        <v>0</v>
      </c>
      <c r="O234" s="16">
        <f>발주발송관리!AW234</f>
        <v>0</v>
      </c>
      <c r="P234" s="18"/>
      <c r="Q234" s="18">
        <f>발주발송관리!BB234</f>
        <v>0</v>
      </c>
      <c r="S234" s="20" t="str">
        <f t="shared" si="10"/>
        <v/>
      </c>
      <c r="T234" s="20" t="s">
        <v>275</v>
      </c>
      <c r="U234" s="20" t="s">
        <v>285</v>
      </c>
    </row>
    <row r="235" spans="1:21">
      <c r="A235" s="9" t="s">
        <v>295</v>
      </c>
      <c r="B235" s="9" t="s">
        <v>296</v>
      </c>
      <c r="C235" s="16">
        <f t="shared" si="9"/>
        <v>0</v>
      </c>
      <c r="D235" s="16">
        <f>IFERROR(TRIM(LEFT(발주발송관리!T235,FIND(" ",발주발송관리!T235)-1)),0)</f>
        <v>0</v>
      </c>
      <c r="E235" s="16">
        <f>IFERROR(MID(발주발송관리!T235,FIND(" ",발주발송관리!T235)+1,LEN(발주발송관리!T235)-FIND(" ",발주발송관리!T235)+1),0)</f>
        <v>0</v>
      </c>
      <c r="F235" s="16">
        <f>발주발송관리!W235</f>
        <v>0</v>
      </c>
      <c r="G235" s="11">
        <f>발주발송관리!Y235</f>
        <v>0</v>
      </c>
      <c r="H235" s="17">
        <f>발주발송관리!Z235/1.6</f>
        <v>0</v>
      </c>
      <c r="I235" s="10"/>
      <c r="J235" s="10"/>
      <c r="K235" s="11"/>
      <c r="L235" s="11"/>
      <c r="M235" s="16">
        <f>IF(발주발송관리!M235=R235,0,발주발송관리!M235&amp;T235&amp;S235&amp;U235)</f>
        <v>0</v>
      </c>
      <c r="N235" s="16">
        <f>발주발송관리!AZ235</f>
        <v>0</v>
      </c>
      <c r="O235" s="16">
        <f>발주발송관리!AW235</f>
        <v>0</v>
      </c>
      <c r="P235" s="18"/>
      <c r="Q235" s="18">
        <f>발주발송관리!BB235</f>
        <v>0</v>
      </c>
      <c r="S235" s="20" t="str">
        <f t="shared" si="10"/>
        <v/>
      </c>
      <c r="T235" s="20" t="s">
        <v>275</v>
      </c>
      <c r="U235" s="20" t="s">
        <v>285</v>
      </c>
    </row>
    <row r="236" spans="1:21">
      <c r="A236" s="9" t="s">
        <v>295</v>
      </c>
      <c r="B236" s="9" t="s">
        <v>296</v>
      </c>
      <c r="C236" s="16">
        <f t="shared" si="9"/>
        <v>0</v>
      </c>
      <c r="D236" s="16">
        <f>IFERROR(TRIM(LEFT(발주발송관리!T236,FIND(" ",발주발송관리!T236)-1)),0)</f>
        <v>0</v>
      </c>
      <c r="E236" s="16">
        <f>IFERROR(MID(발주발송관리!T236,FIND(" ",발주발송관리!T236)+1,LEN(발주발송관리!T236)-FIND(" ",발주발송관리!T236)+1),0)</f>
        <v>0</v>
      </c>
      <c r="F236" s="16">
        <f>발주발송관리!W236</f>
        <v>0</v>
      </c>
      <c r="G236" s="11">
        <f>발주발송관리!Y236</f>
        <v>0</v>
      </c>
      <c r="H236" s="17">
        <f>발주발송관리!Z236/1.6</f>
        <v>0</v>
      </c>
      <c r="I236" s="10"/>
      <c r="J236" s="10"/>
      <c r="K236" s="11"/>
      <c r="L236" s="11"/>
      <c r="M236" s="16">
        <f>IF(발주발송관리!M236=R236,0,발주발송관리!M236&amp;T236&amp;S236&amp;U236)</f>
        <v>0</v>
      </c>
      <c r="N236" s="16">
        <f>발주발송관리!AZ236</f>
        <v>0</v>
      </c>
      <c r="O236" s="16">
        <f>발주발송관리!AW236</f>
        <v>0</v>
      </c>
      <c r="P236" s="18"/>
      <c r="Q236" s="18">
        <f>발주발송관리!BB236</f>
        <v>0</v>
      </c>
      <c r="S236" s="20" t="str">
        <f t="shared" si="10"/>
        <v/>
      </c>
      <c r="T236" s="20" t="s">
        <v>275</v>
      </c>
      <c r="U236" s="20" t="s">
        <v>285</v>
      </c>
    </row>
    <row r="237" spans="1:21">
      <c r="A237" s="9" t="s">
        <v>295</v>
      </c>
      <c r="B237" s="9" t="s">
        <v>296</v>
      </c>
      <c r="C237" s="16">
        <f t="shared" si="9"/>
        <v>0</v>
      </c>
      <c r="D237" s="16">
        <f>IFERROR(TRIM(LEFT(발주발송관리!T237,FIND(" ",발주발송관리!T237)-1)),0)</f>
        <v>0</v>
      </c>
      <c r="E237" s="16">
        <f>IFERROR(MID(발주발송관리!T237,FIND(" ",발주발송관리!T237)+1,LEN(발주발송관리!T237)-FIND(" ",발주발송관리!T237)+1),0)</f>
        <v>0</v>
      </c>
      <c r="F237" s="16">
        <f>발주발송관리!W237</f>
        <v>0</v>
      </c>
      <c r="G237" s="11">
        <f>발주발송관리!Y237</f>
        <v>0</v>
      </c>
      <c r="H237" s="17">
        <f>발주발송관리!Z237/1.6</f>
        <v>0</v>
      </c>
      <c r="I237" s="10"/>
      <c r="J237" s="10"/>
      <c r="K237" s="11"/>
      <c r="L237" s="11"/>
      <c r="M237" s="16">
        <f>IF(발주발송관리!M237=R237,0,발주발송관리!M237&amp;T237&amp;S237&amp;U237)</f>
        <v>0</v>
      </c>
      <c r="N237" s="16">
        <f>발주발송관리!AZ237</f>
        <v>0</v>
      </c>
      <c r="O237" s="16">
        <f>발주발송관리!AW237</f>
        <v>0</v>
      </c>
      <c r="P237" s="18"/>
      <c r="Q237" s="18">
        <f>발주발송관리!BB237</f>
        <v>0</v>
      </c>
      <c r="S237" s="20" t="str">
        <f t="shared" si="10"/>
        <v/>
      </c>
      <c r="T237" s="20" t="s">
        <v>275</v>
      </c>
      <c r="U237" s="20" t="s">
        <v>285</v>
      </c>
    </row>
    <row r="238" spans="1:21">
      <c r="A238" s="9" t="s">
        <v>295</v>
      </c>
      <c r="B238" s="9" t="s">
        <v>296</v>
      </c>
      <c r="C238" s="16">
        <f t="shared" si="9"/>
        <v>0</v>
      </c>
      <c r="D238" s="16">
        <f>IFERROR(TRIM(LEFT(발주발송관리!T238,FIND(" ",발주발송관리!T238)-1)),0)</f>
        <v>0</v>
      </c>
      <c r="E238" s="16">
        <f>IFERROR(MID(발주발송관리!T238,FIND(" ",발주발송관리!T238)+1,LEN(발주발송관리!T238)-FIND(" ",발주발송관리!T238)+1),0)</f>
        <v>0</v>
      </c>
      <c r="F238" s="16">
        <f>발주발송관리!W238</f>
        <v>0</v>
      </c>
      <c r="G238" s="11">
        <f>발주발송관리!Y238</f>
        <v>0</v>
      </c>
      <c r="H238" s="17">
        <f>발주발송관리!Z238/1.6</f>
        <v>0</v>
      </c>
      <c r="I238" s="10"/>
      <c r="J238" s="10"/>
      <c r="K238" s="11"/>
      <c r="L238" s="11"/>
      <c r="M238" s="16">
        <f>IF(발주발송관리!M238=R238,0,발주발송관리!M238&amp;T238&amp;S238&amp;U238)</f>
        <v>0</v>
      </c>
      <c r="N238" s="16">
        <f>발주발송관리!AZ238</f>
        <v>0</v>
      </c>
      <c r="O238" s="16">
        <f>발주발송관리!AW238</f>
        <v>0</v>
      </c>
      <c r="P238" s="18"/>
      <c r="Q238" s="18">
        <f>발주발송관리!BB238</f>
        <v>0</v>
      </c>
      <c r="S238" s="20" t="str">
        <f t="shared" si="10"/>
        <v/>
      </c>
      <c r="T238" s="20" t="s">
        <v>275</v>
      </c>
      <c r="U238" s="20" t="s">
        <v>285</v>
      </c>
    </row>
    <row r="239" spans="1:21">
      <c r="A239" s="9" t="s">
        <v>295</v>
      </c>
      <c r="B239" s="9" t="s">
        <v>296</v>
      </c>
      <c r="C239" s="16">
        <f t="shared" si="9"/>
        <v>0</v>
      </c>
      <c r="D239" s="16">
        <f>IFERROR(TRIM(LEFT(발주발송관리!T239,FIND(" ",발주발송관리!T239)-1)),0)</f>
        <v>0</v>
      </c>
      <c r="E239" s="16">
        <f>IFERROR(MID(발주발송관리!T239,FIND(" ",발주발송관리!T239)+1,LEN(발주발송관리!T239)-FIND(" ",발주발송관리!T239)+1),0)</f>
        <v>0</v>
      </c>
      <c r="F239" s="16">
        <f>발주발송관리!W239</f>
        <v>0</v>
      </c>
      <c r="G239" s="11">
        <f>발주발송관리!Y239</f>
        <v>0</v>
      </c>
      <c r="H239" s="17">
        <f>발주발송관리!Z239/1.6</f>
        <v>0</v>
      </c>
      <c r="I239" s="10"/>
      <c r="J239" s="10"/>
      <c r="K239" s="11"/>
      <c r="L239" s="11"/>
      <c r="M239" s="16">
        <f>IF(발주발송관리!M239=R239,0,발주발송관리!M239&amp;T239&amp;S239&amp;U239)</f>
        <v>0</v>
      </c>
      <c r="N239" s="16">
        <f>발주발송관리!AZ239</f>
        <v>0</v>
      </c>
      <c r="O239" s="16">
        <f>발주발송관리!AW239</f>
        <v>0</v>
      </c>
      <c r="P239" s="18"/>
      <c r="Q239" s="18">
        <f>발주발송관리!BB239</f>
        <v>0</v>
      </c>
      <c r="S239" s="20" t="str">
        <f t="shared" si="10"/>
        <v/>
      </c>
      <c r="T239" s="20" t="s">
        <v>275</v>
      </c>
      <c r="U239" s="20" t="s">
        <v>285</v>
      </c>
    </row>
    <row r="240" spans="1:21">
      <c r="A240" s="9" t="s">
        <v>295</v>
      </c>
      <c r="B240" s="9" t="s">
        <v>296</v>
      </c>
      <c r="C240" s="16">
        <f t="shared" si="9"/>
        <v>0</v>
      </c>
      <c r="D240" s="16">
        <f>IFERROR(TRIM(LEFT(발주발송관리!T240,FIND(" ",발주발송관리!T240)-1)),0)</f>
        <v>0</v>
      </c>
      <c r="E240" s="16">
        <f>IFERROR(MID(발주발송관리!T240,FIND(" ",발주발송관리!T240)+1,LEN(발주발송관리!T240)-FIND(" ",발주발송관리!T240)+1),0)</f>
        <v>0</v>
      </c>
      <c r="F240" s="16">
        <f>발주발송관리!W240</f>
        <v>0</v>
      </c>
      <c r="G240" s="11">
        <f>발주발송관리!Y240</f>
        <v>0</v>
      </c>
      <c r="H240" s="17">
        <f>발주발송관리!Z240/1.6</f>
        <v>0</v>
      </c>
      <c r="I240" s="10"/>
      <c r="J240" s="10"/>
      <c r="K240" s="11"/>
      <c r="L240" s="11"/>
      <c r="M240" s="16">
        <f>IF(발주발송관리!M240=R240,0,발주발송관리!M240&amp;T240&amp;S240&amp;U240)</f>
        <v>0</v>
      </c>
      <c r="N240" s="16">
        <f>발주발송관리!AZ240</f>
        <v>0</v>
      </c>
      <c r="O240" s="16">
        <f>발주발송관리!AW240</f>
        <v>0</v>
      </c>
      <c r="P240" s="18"/>
      <c r="Q240" s="18">
        <f>발주발송관리!BB240</f>
        <v>0</v>
      </c>
      <c r="S240" s="20" t="str">
        <f t="shared" si="10"/>
        <v/>
      </c>
      <c r="T240" s="20" t="s">
        <v>275</v>
      </c>
      <c r="U240" s="20" t="s">
        <v>285</v>
      </c>
    </row>
    <row r="241" spans="1:21">
      <c r="A241" s="9" t="s">
        <v>295</v>
      </c>
      <c r="B241" s="9" t="s">
        <v>296</v>
      </c>
      <c r="C241" s="16">
        <f t="shared" si="9"/>
        <v>0</v>
      </c>
      <c r="D241" s="16">
        <f>IFERROR(TRIM(LEFT(발주발송관리!T241,FIND(" ",발주발송관리!T241)-1)),0)</f>
        <v>0</v>
      </c>
      <c r="E241" s="16">
        <f>IFERROR(MID(발주발송관리!T241,FIND(" ",발주발송관리!T241)+1,LEN(발주발송관리!T241)-FIND(" ",발주발송관리!T241)+1),0)</f>
        <v>0</v>
      </c>
      <c r="F241" s="16">
        <f>발주발송관리!W241</f>
        <v>0</v>
      </c>
      <c r="G241" s="11">
        <f>발주발송관리!Y241</f>
        <v>0</v>
      </c>
      <c r="H241" s="17">
        <f>발주발송관리!Z241/1.6</f>
        <v>0</v>
      </c>
      <c r="I241" s="10"/>
      <c r="J241" s="10"/>
      <c r="K241" s="11"/>
      <c r="L241" s="11"/>
      <c r="M241" s="16">
        <f>IF(발주발송관리!M241=R241,0,발주발송관리!M241&amp;T241&amp;S241&amp;U241)</f>
        <v>0</v>
      </c>
      <c r="N241" s="16">
        <f>발주발송관리!AZ241</f>
        <v>0</v>
      </c>
      <c r="O241" s="16">
        <f>발주발송관리!AW241</f>
        <v>0</v>
      </c>
      <c r="P241" s="18"/>
      <c r="Q241" s="18">
        <f>발주발송관리!BB241</f>
        <v>0</v>
      </c>
      <c r="S241" s="20" t="str">
        <f t="shared" si="10"/>
        <v/>
      </c>
      <c r="T241" s="20" t="s">
        <v>275</v>
      </c>
      <c r="U241" s="20" t="s">
        <v>285</v>
      </c>
    </row>
    <row r="242" spans="1:21">
      <c r="A242" s="9" t="s">
        <v>295</v>
      </c>
      <c r="B242" s="9" t="s">
        <v>296</v>
      </c>
      <c r="C242" s="16">
        <f t="shared" si="9"/>
        <v>0</v>
      </c>
      <c r="D242" s="16">
        <f>IFERROR(TRIM(LEFT(발주발송관리!T242,FIND(" ",발주발송관리!T242)-1)),0)</f>
        <v>0</v>
      </c>
      <c r="E242" s="16">
        <f>IFERROR(MID(발주발송관리!T242,FIND(" ",발주발송관리!T242)+1,LEN(발주발송관리!T242)-FIND(" ",발주발송관리!T242)+1),0)</f>
        <v>0</v>
      </c>
      <c r="F242" s="16">
        <f>발주발송관리!W242</f>
        <v>0</v>
      </c>
      <c r="G242" s="11">
        <f>발주발송관리!Y242</f>
        <v>0</v>
      </c>
      <c r="H242" s="17">
        <f>발주발송관리!Z242/1.6</f>
        <v>0</v>
      </c>
      <c r="I242" s="10"/>
      <c r="J242" s="10"/>
      <c r="K242" s="11"/>
      <c r="L242" s="11"/>
      <c r="M242" s="16">
        <f>IF(발주발송관리!M242=R242,0,발주발송관리!M242&amp;T242&amp;S242&amp;U242)</f>
        <v>0</v>
      </c>
      <c r="N242" s="16">
        <f>발주발송관리!AZ242</f>
        <v>0</v>
      </c>
      <c r="O242" s="16">
        <f>발주발송관리!AW242</f>
        <v>0</v>
      </c>
      <c r="P242" s="18"/>
      <c r="Q242" s="18">
        <f>발주발송관리!BB242</f>
        <v>0</v>
      </c>
      <c r="S242" s="20" t="str">
        <f t="shared" si="10"/>
        <v/>
      </c>
      <c r="T242" s="20" t="s">
        <v>275</v>
      </c>
      <c r="U242" s="20" t="s">
        <v>285</v>
      </c>
    </row>
    <row r="243" spans="1:21">
      <c r="A243" s="9" t="s">
        <v>295</v>
      </c>
      <c r="B243" s="9" t="s">
        <v>296</v>
      </c>
      <c r="C243" s="16">
        <f t="shared" si="9"/>
        <v>0</v>
      </c>
      <c r="D243" s="16">
        <f>IFERROR(TRIM(LEFT(발주발송관리!T243,FIND(" ",발주발송관리!T243)-1)),0)</f>
        <v>0</v>
      </c>
      <c r="E243" s="16">
        <f>IFERROR(MID(발주발송관리!T243,FIND(" ",발주발송관리!T243)+1,LEN(발주발송관리!T243)-FIND(" ",발주발송관리!T243)+1),0)</f>
        <v>0</v>
      </c>
      <c r="F243" s="16">
        <f>발주발송관리!W243</f>
        <v>0</v>
      </c>
      <c r="G243" s="11">
        <f>발주발송관리!Y243</f>
        <v>0</v>
      </c>
      <c r="H243" s="17">
        <f>발주발송관리!Z243/1.6</f>
        <v>0</v>
      </c>
      <c r="I243" s="10"/>
      <c r="J243" s="10"/>
      <c r="K243" s="11"/>
      <c r="L243" s="11"/>
      <c r="M243" s="16">
        <f>IF(발주발송관리!M243=R243,0,발주발송관리!M243&amp;T243&amp;S243&amp;U243)</f>
        <v>0</v>
      </c>
      <c r="N243" s="16">
        <f>발주발송관리!AZ243</f>
        <v>0</v>
      </c>
      <c r="O243" s="16">
        <f>발주발송관리!AW243</f>
        <v>0</v>
      </c>
      <c r="P243" s="18"/>
      <c r="Q243" s="18">
        <f>발주발송관리!BB243</f>
        <v>0</v>
      </c>
      <c r="S243" s="20" t="str">
        <f t="shared" si="10"/>
        <v/>
      </c>
      <c r="T243" s="20" t="s">
        <v>275</v>
      </c>
      <c r="U243" s="20" t="s">
        <v>285</v>
      </c>
    </row>
    <row r="244" spans="1:21">
      <c r="A244" s="9" t="s">
        <v>295</v>
      </c>
      <c r="B244" s="9" t="s">
        <v>296</v>
      </c>
      <c r="C244" s="16">
        <f t="shared" si="9"/>
        <v>0</v>
      </c>
      <c r="D244" s="16">
        <f>IFERROR(TRIM(LEFT(발주발송관리!T244,FIND(" ",발주발송관리!T244)-1)),0)</f>
        <v>0</v>
      </c>
      <c r="E244" s="16">
        <f>IFERROR(MID(발주발송관리!T244,FIND(" ",발주발송관리!T244)+1,LEN(발주발송관리!T244)-FIND(" ",발주발송관리!T244)+1),0)</f>
        <v>0</v>
      </c>
      <c r="F244" s="16">
        <f>발주발송관리!W244</f>
        <v>0</v>
      </c>
      <c r="G244" s="11">
        <f>발주발송관리!Y244</f>
        <v>0</v>
      </c>
      <c r="H244" s="17">
        <f>발주발송관리!Z244/1.6</f>
        <v>0</v>
      </c>
      <c r="I244" s="10"/>
      <c r="J244" s="10"/>
      <c r="K244" s="11"/>
      <c r="L244" s="11"/>
      <c r="M244" s="16">
        <f>IF(발주발송관리!M244=R244,0,발주발송관리!M244&amp;T244&amp;S244&amp;U244)</f>
        <v>0</v>
      </c>
      <c r="N244" s="16">
        <f>발주발송관리!AZ244</f>
        <v>0</v>
      </c>
      <c r="O244" s="16">
        <f>발주발송관리!AW244</f>
        <v>0</v>
      </c>
      <c r="P244" s="18"/>
      <c r="Q244" s="18">
        <f>발주발송관리!BB244</f>
        <v>0</v>
      </c>
      <c r="S244" s="20" t="str">
        <f t="shared" si="10"/>
        <v/>
      </c>
      <c r="T244" s="20" t="s">
        <v>275</v>
      </c>
      <c r="U244" s="20" t="s">
        <v>285</v>
      </c>
    </row>
    <row r="245" spans="1:21">
      <c r="A245" s="9" t="s">
        <v>295</v>
      </c>
      <c r="B245" s="9" t="s">
        <v>296</v>
      </c>
      <c r="C245" s="16">
        <f t="shared" si="9"/>
        <v>0</v>
      </c>
      <c r="D245" s="16">
        <f>IFERROR(TRIM(LEFT(발주발송관리!T245,FIND(" ",발주발송관리!T245)-1)),0)</f>
        <v>0</v>
      </c>
      <c r="E245" s="16">
        <f>IFERROR(MID(발주발송관리!T245,FIND(" ",발주발송관리!T245)+1,LEN(발주발송관리!T245)-FIND(" ",발주발송관리!T245)+1),0)</f>
        <v>0</v>
      </c>
      <c r="F245" s="16">
        <f>발주발송관리!W245</f>
        <v>0</v>
      </c>
      <c r="G245" s="11">
        <f>발주발송관리!Y245</f>
        <v>0</v>
      </c>
      <c r="H245" s="17">
        <f>발주발송관리!Z245/1.6</f>
        <v>0</v>
      </c>
      <c r="I245" s="10"/>
      <c r="J245" s="10"/>
      <c r="K245" s="11"/>
      <c r="L245" s="11"/>
      <c r="M245" s="16">
        <f>IF(발주발송관리!M245=R245,0,발주발송관리!M245&amp;T245&amp;S245&amp;U245)</f>
        <v>0</v>
      </c>
      <c r="N245" s="16">
        <f>발주발송관리!AZ245</f>
        <v>0</v>
      </c>
      <c r="O245" s="16">
        <f>발주발송관리!AW245</f>
        <v>0</v>
      </c>
      <c r="P245" s="18"/>
      <c r="Q245" s="18">
        <f>발주발송관리!BB245</f>
        <v>0</v>
      </c>
      <c r="S245" s="20" t="str">
        <f t="shared" si="10"/>
        <v/>
      </c>
      <c r="T245" s="20" t="s">
        <v>275</v>
      </c>
      <c r="U245" s="20" t="s">
        <v>285</v>
      </c>
    </row>
    <row r="246" spans="1:21">
      <c r="A246" s="9" t="s">
        <v>295</v>
      </c>
      <c r="B246" s="9" t="s">
        <v>296</v>
      </c>
      <c r="C246" s="16">
        <f t="shared" si="9"/>
        <v>0</v>
      </c>
      <c r="D246" s="16">
        <f>IFERROR(TRIM(LEFT(발주발송관리!T246,FIND(" ",발주발송관리!T246)-1)),0)</f>
        <v>0</v>
      </c>
      <c r="E246" s="16">
        <f>IFERROR(MID(발주발송관리!T246,FIND(" ",발주발송관리!T246)+1,LEN(발주발송관리!T246)-FIND(" ",발주발송관리!T246)+1),0)</f>
        <v>0</v>
      </c>
      <c r="F246" s="16">
        <f>발주발송관리!W246</f>
        <v>0</v>
      </c>
      <c r="G246" s="11">
        <f>발주발송관리!Y246</f>
        <v>0</v>
      </c>
      <c r="H246" s="17">
        <f>발주발송관리!Z246/1.6</f>
        <v>0</v>
      </c>
      <c r="I246" s="10"/>
      <c r="J246" s="10"/>
      <c r="K246" s="11"/>
      <c r="L246" s="11"/>
      <c r="M246" s="16">
        <f>IF(발주발송관리!M246=R246,0,발주발송관리!M246&amp;T246&amp;S246&amp;U246)</f>
        <v>0</v>
      </c>
      <c r="N246" s="16">
        <f>발주발송관리!AZ246</f>
        <v>0</v>
      </c>
      <c r="O246" s="16">
        <f>발주발송관리!AW246</f>
        <v>0</v>
      </c>
      <c r="P246" s="18"/>
      <c r="Q246" s="18">
        <f>발주발송관리!BB246</f>
        <v>0</v>
      </c>
      <c r="S246" s="20" t="str">
        <f t="shared" si="10"/>
        <v/>
      </c>
      <c r="T246" s="20" t="s">
        <v>275</v>
      </c>
      <c r="U246" s="20" t="s">
        <v>285</v>
      </c>
    </row>
    <row r="247" spans="1:21">
      <c r="A247" s="9" t="s">
        <v>295</v>
      </c>
      <c r="B247" s="9" t="s">
        <v>296</v>
      </c>
      <c r="C247" s="16">
        <f t="shared" si="9"/>
        <v>0</v>
      </c>
      <c r="D247" s="16">
        <f>IFERROR(TRIM(LEFT(발주발송관리!T247,FIND(" ",발주발송관리!T247)-1)),0)</f>
        <v>0</v>
      </c>
      <c r="E247" s="16">
        <f>IFERROR(MID(발주발송관리!T247,FIND(" ",발주발송관리!T247)+1,LEN(발주발송관리!T247)-FIND(" ",발주발송관리!T247)+1),0)</f>
        <v>0</v>
      </c>
      <c r="F247" s="16">
        <f>발주발송관리!W247</f>
        <v>0</v>
      </c>
      <c r="G247" s="11">
        <f>발주발송관리!Y247</f>
        <v>0</v>
      </c>
      <c r="H247" s="17">
        <f>발주발송관리!Z247/1.6</f>
        <v>0</v>
      </c>
      <c r="I247" s="10"/>
      <c r="J247" s="10"/>
      <c r="K247" s="11"/>
      <c r="L247" s="11"/>
      <c r="M247" s="16">
        <f>IF(발주발송관리!M247=R247,0,발주발송관리!M247&amp;T247&amp;S247&amp;U247)</f>
        <v>0</v>
      </c>
      <c r="N247" s="16">
        <f>발주발송관리!AZ247</f>
        <v>0</v>
      </c>
      <c r="O247" s="16">
        <f>발주발송관리!AW247</f>
        <v>0</v>
      </c>
      <c r="P247" s="18"/>
      <c r="Q247" s="18">
        <f>발주발송관리!BB247</f>
        <v>0</v>
      </c>
      <c r="S247" s="20" t="str">
        <f t="shared" si="10"/>
        <v/>
      </c>
      <c r="T247" s="20" t="s">
        <v>275</v>
      </c>
      <c r="U247" s="20" t="s">
        <v>285</v>
      </c>
    </row>
    <row r="248" spans="1:21">
      <c r="A248" s="9" t="s">
        <v>295</v>
      </c>
      <c r="B248" s="9" t="s">
        <v>296</v>
      </c>
      <c r="C248" s="16">
        <f t="shared" si="9"/>
        <v>0</v>
      </c>
      <c r="D248" s="16">
        <f>IFERROR(TRIM(LEFT(발주발송관리!T248,FIND(" ",발주발송관리!T248)-1)),0)</f>
        <v>0</v>
      </c>
      <c r="E248" s="16">
        <f>IFERROR(MID(발주발송관리!T248,FIND(" ",발주발송관리!T248)+1,LEN(발주발송관리!T248)-FIND(" ",발주발송관리!T248)+1),0)</f>
        <v>0</v>
      </c>
      <c r="F248" s="16">
        <f>발주발송관리!W248</f>
        <v>0</v>
      </c>
      <c r="G248" s="11">
        <f>발주발송관리!Y248</f>
        <v>0</v>
      </c>
      <c r="H248" s="17">
        <f>발주발송관리!Z248/1.6</f>
        <v>0</v>
      </c>
      <c r="I248" s="10"/>
      <c r="J248" s="10"/>
      <c r="K248" s="11"/>
      <c r="L248" s="11"/>
      <c r="M248" s="16">
        <f>IF(발주발송관리!M248=R248,0,발주발송관리!M248&amp;T248&amp;S248&amp;U248)</f>
        <v>0</v>
      </c>
      <c r="N248" s="16">
        <f>발주발송관리!AZ248</f>
        <v>0</v>
      </c>
      <c r="O248" s="16">
        <f>발주발송관리!AW248</f>
        <v>0</v>
      </c>
      <c r="P248" s="18"/>
      <c r="Q248" s="18">
        <f>발주발송관리!BB248</f>
        <v>0</v>
      </c>
      <c r="S248" s="20" t="str">
        <f t="shared" si="10"/>
        <v/>
      </c>
      <c r="T248" s="20" t="s">
        <v>275</v>
      </c>
      <c r="U248" s="20" t="s">
        <v>285</v>
      </c>
    </row>
    <row r="249" spans="1:21">
      <c r="A249" s="9" t="s">
        <v>295</v>
      </c>
      <c r="B249" s="9" t="s">
        <v>296</v>
      </c>
      <c r="C249" s="16">
        <f t="shared" si="9"/>
        <v>0</v>
      </c>
      <c r="D249" s="16">
        <f>IFERROR(TRIM(LEFT(발주발송관리!T249,FIND(" ",발주발송관리!T249)-1)),0)</f>
        <v>0</v>
      </c>
      <c r="E249" s="16">
        <f>IFERROR(MID(발주발송관리!T249,FIND(" ",발주발송관리!T249)+1,LEN(발주발송관리!T249)-FIND(" ",발주발송관리!T249)+1),0)</f>
        <v>0</v>
      </c>
      <c r="F249" s="16">
        <f>발주발송관리!W249</f>
        <v>0</v>
      </c>
      <c r="G249" s="11">
        <f>발주발송관리!Y249</f>
        <v>0</v>
      </c>
      <c r="H249" s="17">
        <f>발주발송관리!Z249/1.6</f>
        <v>0</v>
      </c>
      <c r="I249" s="10"/>
      <c r="J249" s="10"/>
      <c r="K249" s="11"/>
      <c r="L249" s="11"/>
      <c r="M249" s="16">
        <f>IF(발주발송관리!M249=R249,0,발주발송관리!M249&amp;T249&amp;S249&amp;U249)</f>
        <v>0</v>
      </c>
      <c r="N249" s="16">
        <f>발주발송관리!AZ249</f>
        <v>0</v>
      </c>
      <c r="O249" s="16">
        <f>발주발송관리!AW249</f>
        <v>0</v>
      </c>
      <c r="P249" s="18"/>
      <c r="Q249" s="18">
        <f>발주발송관리!BB249</f>
        <v>0</v>
      </c>
      <c r="S249" s="20" t="str">
        <f t="shared" si="10"/>
        <v/>
      </c>
      <c r="T249" s="20" t="s">
        <v>275</v>
      </c>
      <c r="U249" s="20" t="s">
        <v>285</v>
      </c>
    </row>
    <row r="250" spans="1:21">
      <c r="A250" s="9" t="s">
        <v>295</v>
      </c>
      <c r="B250" s="9" t="s">
        <v>296</v>
      </c>
      <c r="C250" s="16">
        <f t="shared" ref="C250:C287" si="11">M250</f>
        <v>0</v>
      </c>
      <c r="D250" s="16">
        <f>IFERROR(TRIM(LEFT(발주발송관리!T250,FIND(" ",발주발송관리!T250)-1)),0)</f>
        <v>0</v>
      </c>
      <c r="E250" s="16">
        <f>IFERROR(MID(발주발송관리!T250,FIND(" ",발주발송관리!T250)+1,LEN(발주발송관리!T250)-FIND(" ",발주발송관리!T250)+1),0)</f>
        <v>0</v>
      </c>
      <c r="F250" s="16">
        <f>발주발송관리!W250</f>
        <v>0</v>
      </c>
      <c r="G250" s="11">
        <f>발주발송관리!Y250</f>
        <v>0</v>
      </c>
      <c r="H250" s="17">
        <f>발주발송관리!Z250/1.6</f>
        <v>0</v>
      </c>
      <c r="I250" s="10"/>
      <c r="J250" s="10"/>
      <c r="K250" s="11"/>
      <c r="L250" s="11"/>
      <c r="M250" s="16">
        <f>IF(발주발송관리!M250=R250,0,발주발송관리!M250&amp;T250&amp;S250&amp;U250)</f>
        <v>0</v>
      </c>
      <c r="N250" s="16">
        <f>발주발송관리!AZ250</f>
        <v>0</v>
      </c>
      <c r="O250" s="16">
        <f>발주발송관리!AW250</f>
        <v>0</v>
      </c>
      <c r="P250" s="18"/>
      <c r="Q250" s="18">
        <f>발주발송관리!BB250</f>
        <v>0</v>
      </c>
      <c r="S250" s="20" t="str">
        <f t="shared" si="10"/>
        <v/>
      </c>
      <c r="T250" s="20" t="s">
        <v>275</v>
      </c>
      <c r="U250" s="20" t="s">
        <v>285</v>
      </c>
    </row>
    <row r="251" spans="1:21">
      <c r="A251" s="9" t="s">
        <v>295</v>
      </c>
      <c r="B251" s="9" t="s">
        <v>296</v>
      </c>
      <c r="C251" s="16">
        <f t="shared" si="11"/>
        <v>0</v>
      </c>
      <c r="D251" s="16">
        <f>IFERROR(TRIM(LEFT(발주발송관리!T251,FIND(" ",발주발송관리!T251)-1)),0)</f>
        <v>0</v>
      </c>
      <c r="E251" s="16">
        <f>IFERROR(MID(발주발송관리!T251,FIND(" ",발주발송관리!T251)+1,LEN(발주발송관리!T251)-FIND(" ",발주발송관리!T251)+1),0)</f>
        <v>0</v>
      </c>
      <c r="F251" s="16">
        <f>발주발송관리!W251</f>
        <v>0</v>
      </c>
      <c r="G251" s="11">
        <f>발주발송관리!Y251</f>
        <v>0</v>
      </c>
      <c r="H251" s="17">
        <f>발주발송관리!Z251/1.6</f>
        <v>0</v>
      </c>
      <c r="I251" s="10"/>
      <c r="J251" s="10"/>
      <c r="K251" s="11"/>
      <c r="L251" s="11"/>
      <c r="M251" s="16">
        <f>IF(발주발송관리!M251=R251,0,발주발송관리!M251&amp;T251&amp;S251&amp;U251)</f>
        <v>0</v>
      </c>
      <c r="N251" s="16">
        <f>발주발송관리!AZ251</f>
        <v>0</v>
      </c>
      <c r="O251" s="16">
        <f>발주발송관리!AW251</f>
        <v>0</v>
      </c>
      <c r="P251" s="18"/>
      <c r="Q251" s="18">
        <f>발주발송관리!BB251</f>
        <v>0</v>
      </c>
      <c r="S251" s="20" t="str">
        <f t="shared" si="10"/>
        <v/>
      </c>
      <c r="T251" s="20" t="s">
        <v>275</v>
      </c>
      <c r="U251" s="20" t="s">
        <v>285</v>
      </c>
    </row>
    <row r="252" spans="1:21">
      <c r="A252" s="9" t="s">
        <v>295</v>
      </c>
      <c r="B252" s="9" t="s">
        <v>296</v>
      </c>
      <c r="C252" s="16">
        <f t="shared" si="11"/>
        <v>0</v>
      </c>
      <c r="D252" s="16">
        <f>IFERROR(TRIM(LEFT(발주발송관리!T252,FIND(" ",발주발송관리!T252)-1)),0)</f>
        <v>0</v>
      </c>
      <c r="E252" s="16">
        <f>IFERROR(MID(발주발송관리!T252,FIND(" ",발주발송관리!T252)+1,LEN(발주발송관리!T252)-FIND(" ",발주발송관리!T252)+1),0)</f>
        <v>0</v>
      </c>
      <c r="F252" s="16">
        <f>발주발송관리!W252</f>
        <v>0</v>
      </c>
      <c r="G252" s="11">
        <f>발주발송관리!Y252</f>
        <v>0</v>
      </c>
      <c r="H252" s="17">
        <f>발주발송관리!Z252/1.6</f>
        <v>0</v>
      </c>
      <c r="I252" s="10"/>
      <c r="J252" s="10"/>
      <c r="K252" s="11"/>
      <c r="L252" s="11"/>
      <c r="M252" s="16">
        <f>IF(발주발송관리!M252=R252,0,발주발송관리!M252&amp;T252&amp;S252&amp;U252)</f>
        <v>0</v>
      </c>
      <c r="N252" s="16">
        <f>발주발송관리!AZ252</f>
        <v>0</v>
      </c>
      <c r="O252" s="16">
        <f>발주발송관리!AW252</f>
        <v>0</v>
      </c>
      <c r="P252" s="18"/>
      <c r="Q252" s="18">
        <f>발주발송관리!BB252</f>
        <v>0</v>
      </c>
      <c r="S252" s="20" t="str">
        <f t="shared" si="10"/>
        <v/>
      </c>
      <c r="T252" s="20" t="s">
        <v>275</v>
      </c>
      <c r="U252" s="20" t="s">
        <v>285</v>
      </c>
    </row>
    <row r="253" spans="1:21">
      <c r="A253" s="9" t="s">
        <v>295</v>
      </c>
      <c r="B253" s="9" t="s">
        <v>296</v>
      </c>
      <c r="C253" s="16">
        <f t="shared" si="11"/>
        <v>0</v>
      </c>
      <c r="D253" s="16">
        <f>IFERROR(TRIM(LEFT(발주발송관리!T253,FIND(" ",발주발송관리!T253)-1)),0)</f>
        <v>0</v>
      </c>
      <c r="E253" s="16">
        <f>IFERROR(MID(발주발송관리!T253,FIND(" ",발주발송관리!T253)+1,LEN(발주발송관리!T253)-FIND(" ",발주발송관리!T253)+1),0)</f>
        <v>0</v>
      </c>
      <c r="F253" s="16">
        <f>발주발송관리!W253</f>
        <v>0</v>
      </c>
      <c r="G253" s="11">
        <f>발주발송관리!Y253</f>
        <v>0</v>
      </c>
      <c r="H253" s="17">
        <f>발주발송관리!Z253/1.6</f>
        <v>0</v>
      </c>
      <c r="I253" s="10"/>
      <c r="J253" s="10"/>
      <c r="K253" s="11"/>
      <c r="L253" s="11"/>
      <c r="M253" s="16">
        <f>IF(발주발송관리!M253=R253,0,발주발송관리!M253&amp;T253&amp;S253&amp;U253)</f>
        <v>0</v>
      </c>
      <c r="N253" s="16">
        <f>발주발송관리!AZ253</f>
        <v>0</v>
      </c>
      <c r="O253" s="16">
        <f>발주발송관리!AW253</f>
        <v>0</v>
      </c>
      <c r="P253" s="18"/>
      <c r="Q253" s="18">
        <f>발주발송관리!BB253</f>
        <v>0</v>
      </c>
      <c r="S253" s="20" t="str">
        <f t="shared" si="10"/>
        <v/>
      </c>
      <c r="T253" s="20" t="s">
        <v>275</v>
      </c>
      <c r="U253" s="20" t="s">
        <v>285</v>
      </c>
    </row>
    <row r="254" spans="1:21">
      <c r="A254" s="9" t="s">
        <v>295</v>
      </c>
      <c r="B254" s="9" t="s">
        <v>296</v>
      </c>
      <c r="C254" s="16">
        <f t="shared" si="11"/>
        <v>0</v>
      </c>
      <c r="D254" s="16">
        <f>IFERROR(TRIM(LEFT(발주발송관리!T254,FIND(" ",발주발송관리!T254)-1)),0)</f>
        <v>0</v>
      </c>
      <c r="E254" s="16">
        <f>IFERROR(MID(발주발송관리!T254,FIND(" ",발주발송관리!T254)+1,LEN(발주발송관리!T254)-FIND(" ",발주발송관리!T254)+1),0)</f>
        <v>0</v>
      </c>
      <c r="F254" s="16">
        <f>발주발송관리!W254</f>
        <v>0</v>
      </c>
      <c r="G254" s="11">
        <f>발주발송관리!Y254</f>
        <v>0</v>
      </c>
      <c r="H254" s="17">
        <f>발주발송관리!Z254/1.6</f>
        <v>0</v>
      </c>
      <c r="I254" s="10"/>
      <c r="J254" s="10"/>
      <c r="K254" s="11"/>
      <c r="L254" s="11"/>
      <c r="M254" s="16">
        <f>IF(발주발송관리!M254=R254,0,발주발송관리!M254&amp;T254&amp;S254&amp;U254)</f>
        <v>0</v>
      </c>
      <c r="N254" s="16">
        <f>발주발송관리!AZ254</f>
        <v>0</v>
      </c>
      <c r="O254" s="16">
        <f>발주발송관리!AW254</f>
        <v>0</v>
      </c>
      <c r="P254" s="18"/>
      <c r="Q254" s="18">
        <f>발주발송관리!BB254</f>
        <v>0</v>
      </c>
      <c r="S254" s="20" t="str">
        <f t="shared" si="10"/>
        <v/>
      </c>
      <c r="T254" s="20" t="s">
        <v>275</v>
      </c>
      <c r="U254" s="20" t="s">
        <v>285</v>
      </c>
    </row>
    <row r="255" spans="1:21">
      <c r="A255" s="9" t="s">
        <v>295</v>
      </c>
      <c r="B255" s="9" t="s">
        <v>296</v>
      </c>
      <c r="C255" s="16">
        <f t="shared" si="11"/>
        <v>0</v>
      </c>
      <c r="D255" s="16">
        <f>IFERROR(TRIM(LEFT(발주발송관리!T255,FIND(" ",발주발송관리!T255)-1)),0)</f>
        <v>0</v>
      </c>
      <c r="E255" s="16">
        <f>IFERROR(MID(발주발송관리!T255,FIND(" ",발주발송관리!T255)+1,LEN(발주발송관리!T255)-FIND(" ",발주발송관리!T255)+1),0)</f>
        <v>0</v>
      </c>
      <c r="F255" s="16">
        <f>발주발송관리!W255</f>
        <v>0</v>
      </c>
      <c r="G255" s="11">
        <f>발주발송관리!Y255</f>
        <v>0</v>
      </c>
      <c r="H255" s="17">
        <f>발주발송관리!Z255/1.6</f>
        <v>0</v>
      </c>
      <c r="I255" s="10"/>
      <c r="J255" s="10"/>
      <c r="K255" s="11"/>
      <c r="L255" s="11"/>
      <c r="M255" s="16">
        <f>IF(발주발송관리!M255=R255,0,발주발송관리!M255&amp;T255&amp;S255&amp;U255)</f>
        <v>0</v>
      </c>
      <c r="N255" s="16">
        <f>발주발송관리!AZ255</f>
        <v>0</v>
      </c>
      <c r="O255" s="16">
        <f>발주발송관리!AW255</f>
        <v>0</v>
      </c>
      <c r="P255" s="18"/>
      <c r="Q255" s="18">
        <f>발주발송관리!BB255</f>
        <v>0</v>
      </c>
      <c r="S255" s="20" t="str">
        <f t="shared" si="10"/>
        <v/>
      </c>
      <c r="T255" s="20" t="s">
        <v>275</v>
      </c>
      <c r="U255" s="20" t="s">
        <v>285</v>
      </c>
    </row>
    <row r="256" spans="1:21">
      <c r="A256" s="9" t="s">
        <v>295</v>
      </c>
      <c r="B256" s="9" t="s">
        <v>296</v>
      </c>
      <c r="C256" s="16">
        <f t="shared" si="11"/>
        <v>0</v>
      </c>
      <c r="D256" s="16">
        <f>IFERROR(TRIM(LEFT(발주발송관리!T256,FIND(" ",발주발송관리!T256)-1)),0)</f>
        <v>0</v>
      </c>
      <c r="E256" s="16">
        <f>IFERROR(MID(발주발송관리!T256,FIND(" ",발주발송관리!T256)+1,LEN(발주발송관리!T256)-FIND(" ",발주발송관리!T256)+1),0)</f>
        <v>0</v>
      </c>
      <c r="F256" s="16">
        <f>발주발송관리!W256</f>
        <v>0</v>
      </c>
      <c r="G256" s="11">
        <f>발주발송관리!Y256</f>
        <v>0</v>
      </c>
      <c r="H256" s="17">
        <f>발주발송관리!Z256/1.6</f>
        <v>0</v>
      </c>
      <c r="I256" s="10"/>
      <c r="J256" s="10"/>
      <c r="K256" s="11"/>
      <c r="L256" s="11"/>
      <c r="M256" s="16">
        <f>IF(발주발송관리!M256=R256,0,발주발송관리!M256&amp;T256&amp;S256&amp;U256)</f>
        <v>0</v>
      </c>
      <c r="N256" s="16">
        <f>발주발송관리!AZ256</f>
        <v>0</v>
      </c>
      <c r="O256" s="16">
        <f>발주발송관리!AW256</f>
        <v>0</v>
      </c>
      <c r="P256" s="18"/>
      <c r="Q256" s="18">
        <f>발주발송관리!BB256</f>
        <v>0</v>
      </c>
      <c r="S256" s="20" t="str">
        <f t="shared" si="10"/>
        <v/>
      </c>
      <c r="T256" s="20" t="s">
        <v>275</v>
      </c>
      <c r="U256" s="20" t="s">
        <v>285</v>
      </c>
    </row>
    <row r="257" spans="1:21">
      <c r="A257" s="9" t="s">
        <v>295</v>
      </c>
      <c r="B257" s="9" t="s">
        <v>296</v>
      </c>
      <c r="C257" s="16">
        <f t="shared" si="11"/>
        <v>0</v>
      </c>
      <c r="D257" s="16">
        <f>IFERROR(TRIM(LEFT(발주발송관리!T257,FIND(" ",발주발송관리!T257)-1)),0)</f>
        <v>0</v>
      </c>
      <c r="E257" s="16">
        <f>IFERROR(MID(발주발송관리!T257,FIND(" ",발주발송관리!T257)+1,LEN(발주발송관리!T257)-FIND(" ",발주발송관리!T257)+1),0)</f>
        <v>0</v>
      </c>
      <c r="F257" s="16">
        <f>발주발송관리!W257</f>
        <v>0</v>
      </c>
      <c r="G257" s="11">
        <f>발주발송관리!Y257</f>
        <v>0</v>
      </c>
      <c r="H257" s="17">
        <f>발주발송관리!Z257/1.6</f>
        <v>0</v>
      </c>
      <c r="I257" s="10"/>
      <c r="J257" s="10"/>
      <c r="K257" s="11"/>
      <c r="L257" s="11"/>
      <c r="M257" s="16">
        <f>IF(발주발송관리!M257=R257,0,발주발송관리!M257&amp;T257&amp;S257&amp;U257)</f>
        <v>0</v>
      </c>
      <c r="N257" s="16">
        <f>발주발송관리!AZ257</f>
        <v>0</v>
      </c>
      <c r="O257" s="16">
        <f>발주발송관리!AW257</f>
        <v>0</v>
      </c>
      <c r="P257" s="18"/>
      <c r="Q257" s="18">
        <f>발주발송관리!BB257</f>
        <v>0</v>
      </c>
      <c r="S257" s="20" t="str">
        <f t="shared" si="10"/>
        <v/>
      </c>
      <c r="T257" s="20" t="s">
        <v>275</v>
      </c>
      <c r="U257" s="20" t="s">
        <v>285</v>
      </c>
    </row>
    <row r="258" spans="1:21">
      <c r="A258" s="9" t="s">
        <v>295</v>
      </c>
      <c r="B258" s="9" t="s">
        <v>296</v>
      </c>
      <c r="C258" s="16">
        <f t="shared" si="11"/>
        <v>0</v>
      </c>
      <c r="D258" s="16">
        <f>IFERROR(TRIM(LEFT(발주발송관리!T258,FIND(" ",발주발송관리!T258)-1)),0)</f>
        <v>0</v>
      </c>
      <c r="E258" s="16">
        <f>IFERROR(MID(발주발송관리!T258,FIND(" ",발주발송관리!T258)+1,LEN(발주발송관리!T258)-FIND(" ",발주발송관리!T258)+1),0)</f>
        <v>0</v>
      </c>
      <c r="F258" s="16">
        <f>발주발송관리!W258</f>
        <v>0</v>
      </c>
      <c r="G258" s="11">
        <f>발주발송관리!Y258</f>
        <v>0</v>
      </c>
      <c r="H258" s="17">
        <f>발주발송관리!Z258/1.6</f>
        <v>0</v>
      </c>
      <c r="I258" s="10"/>
      <c r="J258" s="10"/>
      <c r="K258" s="11"/>
      <c r="L258" s="11"/>
      <c r="M258" s="16">
        <f>IF(발주발송관리!M258=R258,0,발주발송관리!M258&amp;T258&amp;S258&amp;U258)</f>
        <v>0</v>
      </c>
      <c r="N258" s="16">
        <f>발주발송관리!AZ258</f>
        <v>0</v>
      </c>
      <c r="O258" s="16">
        <f>발주발송관리!AW258</f>
        <v>0</v>
      </c>
      <c r="P258" s="18"/>
      <c r="Q258" s="18">
        <f>발주발송관리!BB258</f>
        <v>0</v>
      </c>
      <c r="S258" s="20" t="str">
        <f t="shared" si="10"/>
        <v/>
      </c>
      <c r="T258" s="20" t="s">
        <v>275</v>
      </c>
      <c r="U258" s="20" t="s">
        <v>285</v>
      </c>
    </row>
    <row r="259" spans="1:21">
      <c r="A259" s="9" t="s">
        <v>295</v>
      </c>
      <c r="B259" s="9" t="s">
        <v>296</v>
      </c>
      <c r="C259" s="16">
        <f t="shared" si="11"/>
        <v>0</v>
      </c>
      <c r="D259" s="16">
        <f>IFERROR(TRIM(LEFT(발주발송관리!T259,FIND(" ",발주발송관리!T259)-1)),0)</f>
        <v>0</v>
      </c>
      <c r="E259" s="16">
        <f>IFERROR(MID(발주발송관리!T259,FIND(" ",발주발송관리!T259)+1,LEN(발주발송관리!T259)-FIND(" ",발주발송관리!T259)+1),0)</f>
        <v>0</v>
      </c>
      <c r="F259" s="16">
        <f>발주발송관리!W259</f>
        <v>0</v>
      </c>
      <c r="G259" s="11">
        <f>발주발송관리!Y259</f>
        <v>0</v>
      </c>
      <c r="H259" s="17">
        <f>발주발송관리!Z259/1.6</f>
        <v>0</v>
      </c>
      <c r="I259" s="10"/>
      <c r="J259" s="10"/>
      <c r="K259" s="11"/>
      <c r="L259" s="11"/>
      <c r="M259" s="16">
        <f>IF(발주발송관리!M259=R259,0,발주발송관리!M259&amp;T259&amp;S259&amp;U259)</f>
        <v>0</v>
      </c>
      <c r="N259" s="16">
        <f>발주발송관리!AZ259</f>
        <v>0</v>
      </c>
      <c r="O259" s="16">
        <f>발주발송관리!AW259</f>
        <v>0</v>
      </c>
      <c r="P259" s="18"/>
      <c r="Q259" s="18">
        <f>발주발송관리!BB259</f>
        <v>0</v>
      </c>
      <c r="S259" s="20" t="str">
        <f t="shared" ref="S259:S322" si="12">IFERROR(LOOKUP(1,0/(FIND($V$2:$V$209,O259)),$W$2:$W$209),"")</f>
        <v/>
      </c>
      <c r="T259" s="20" t="s">
        <v>275</v>
      </c>
      <c r="U259" s="20" t="s">
        <v>285</v>
      </c>
    </row>
    <row r="260" spans="1:21">
      <c r="A260" s="9" t="s">
        <v>295</v>
      </c>
      <c r="B260" s="9" t="s">
        <v>296</v>
      </c>
      <c r="C260" s="16">
        <f t="shared" si="11"/>
        <v>0</v>
      </c>
      <c r="D260" s="16">
        <f>IFERROR(TRIM(LEFT(발주발송관리!T260,FIND(" ",발주발송관리!T260)-1)),0)</f>
        <v>0</v>
      </c>
      <c r="E260" s="16">
        <f>IFERROR(MID(발주발송관리!T260,FIND(" ",발주발송관리!T260)+1,LEN(발주발송관리!T260)-FIND(" ",발주발송관리!T260)+1),0)</f>
        <v>0</v>
      </c>
      <c r="F260" s="16">
        <f>발주발송관리!W260</f>
        <v>0</v>
      </c>
      <c r="G260" s="11">
        <f>발주발송관리!Y260</f>
        <v>0</v>
      </c>
      <c r="H260" s="17">
        <f>발주발송관리!Z260/1.6</f>
        <v>0</v>
      </c>
      <c r="I260" s="10"/>
      <c r="J260" s="10"/>
      <c r="K260" s="11"/>
      <c r="L260" s="11"/>
      <c r="M260" s="16">
        <f>IF(발주발송관리!M260=R260,0,발주발송관리!M260&amp;T260&amp;S260&amp;U260)</f>
        <v>0</v>
      </c>
      <c r="N260" s="16">
        <f>발주발송관리!AZ260</f>
        <v>0</v>
      </c>
      <c r="O260" s="16">
        <f>발주발송관리!AW260</f>
        <v>0</v>
      </c>
      <c r="P260" s="18"/>
      <c r="Q260" s="18">
        <f>발주발송관리!BB260</f>
        <v>0</v>
      </c>
      <c r="S260" s="20" t="str">
        <f t="shared" si="12"/>
        <v/>
      </c>
      <c r="T260" s="20" t="s">
        <v>275</v>
      </c>
      <c r="U260" s="20" t="s">
        <v>285</v>
      </c>
    </row>
    <row r="261" spans="1:21">
      <c r="A261" s="9" t="s">
        <v>295</v>
      </c>
      <c r="B261" s="9" t="s">
        <v>296</v>
      </c>
      <c r="C261" s="16">
        <f t="shared" si="11"/>
        <v>0</v>
      </c>
      <c r="D261" s="16">
        <f>IFERROR(TRIM(LEFT(발주발송관리!T261,FIND(" ",발주발송관리!T261)-1)),0)</f>
        <v>0</v>
      </c>
      <c r="E261" s="16">
        <f>IFERROR(MID(발주발송관리!T261,FIND(" ",발주발송관리!T261)+1,LEN(발주발송관리!T261)-FIND(" ",발주발송관리!T261)+1),0)</f>
        <v>0</v>
      </c>
      <c r="F261" s="16">
        <f>발주발송관리!W261</f>
        <v>0</v>
      </c>
      <c r="G261" s="11">
        <f>발주발송관리!Y261</f>
        <v>0</v>
      </c>
      <c r="H261" s="17">
        <f>발주발송관리!Z261/1.6</f>
        <v>0</v>
      </c>
      <c r="I261" s="10"/>
      <c r="J261" s="10"/>
      <c r="K261" s="11"/>
      <c r="L261" s="11"/>
      <c r="M261" s="16">
        <f>IF(발주발송관리!M261=R261,0,발주발송관리!M261&amp;T261&amp;S261&amp;U261)</f>
        <v>0</v>
      </c>
      <c r="N261" s="16">
        <f>발주발송관리!AZ261</f>
        <v>0</v>
      </c>
      <c r="O261" s="16">
        <f>발주발송관리!AW261</f>
        <v>0</v>
      </c>
      <c r="P261" s="18"/>
      <c r="Q261" s="18">
        <f>발주발송관리!BB261</f>
        <v>0</v>
      </c>
      <c r="S261" s="20" t="str">
        <f t="shared" si="12"/>
        <v/>
      </c>
      <c r="T261" s="20" t="s">
        <v>275</v>
      </c>
      <c r="U261" s="20" t="s">
        <v>285</v>
      </c>
    </row>
    <row r="262" spans="1:21">
      <c r="A262" s="9" t="s">
        <v>295</v>
      </c>
      <c r="B262" s="9" t="s">
        <v>296</v>
      </c>
      <c r="C262" s="16">
        <f t="shared" si="11"/>
        <v>0</v>
      </c>
      <c r="D262" s="16">
        <f>IFERROR(TRIM(LEFT(발주발송관리!T262,FIND(" ",발주발송관리!T262)-1)),0)</f>
        <v>0</v>
      </c>
      <c r="E262" s="16">
        <f>IFERROR(MID(발주발송관리!T262,FIND(" ",발주발송관리!T262)+1,LEN(발주발송관리!T262)-FIND(" ",발주발송관리!T262)+1),0)</f>
        <v>0</v>
      </c>
      <c r="F262" s="16">
        <f>발주발송관리!W262</f>
        <v>0</v>
      </c>
      <c r="G262" s="11">
        <f>발주발송관리!Y262</f>
        <v>0</v>
      </c>
      <c r="H262" s="17">
        <f>발주발송관리!Z262/1.6</f>
        <v>0</v>
      </c>
      <c r="I262" s="10"/>
      <c r="J262" s="10"/>
      <c r="K262" s="11"/>
      <c r="L262" s="11"/>
      <c r="M262" s="16">
        <f>IF(발주발송관리!M262=R262,0,발주발송관리!M262&amp;T262&amp;S262&amp;U262)</f>
        <v>0</v>
      </c>
      <c r="N262" s="16">
        <f>발주발송관리!AZ262</f>
        <v>0</v>
      </c>
      <c r="O262" s="16">
        <f>발주발송관리!AW262</f>
        <v>0</v>
      </c>
      <c r="P262" s="18"/>
      <c r="Q262" s="18">
        <f>발주발송관리!BB262</f>
        <v>0</v>
      </c>
      <c r="S262" s="20" t="str">
        <f t="shared" si="12"/>
        <v/>
      </c>
      <c r="T262" s="20" t="s">
        <v>275</v>
      </c>
      <c r="U262" s="20" t="s">
        <v>285</v>
      </c>
    </row>
    <row r="263" spans="1:21">
      <c r="A263" s="9" t="s">
        <v>295</v>
      </c>
      <c r="B263" s="9" t="s">
        <v>296</v>
      </c>
      <c r="C263" s="16">
        <f t="shared" si="11"/>
        <v>0</v>
      </c>
      <c r="D263" s="16">
        <f>IFERROR(TRIM(LEFT(발주발송관리!T263,FIND(" ",발주발송관리!T263)-1)),0)</f>
        <v>0</v>
      </c>
      <c r="E263" s="16">
        <f>IFERROR(MID(발주발송관리!T263,FIND(" ",발주발송관리!T263)+1,LEN(발주발송관리!T263)-FIND(" ",발주발송관리!T263)+1),0)</f>
        <v>0</v>
      </c>
      <c r="F263" s="16">
        <f>발주발송관리!W263</f>
        <v>0</v>
      </c>
      <c r="G263" s="11">
        <f>발주발송관리!Y263</f>
        <v>0</v>
      </c>
      <c r="H263" s="17">
        <f>발주발송관리!Z263/1.6</f>
        <v>0</v>
      </c>
      <c r="I263" s="10"/>
      <c r="J263" s="10"/>
      <c r="K263" s="11"/>
      <c r="L263" s="11"/>
      <c r="M263" s="16">
        <f>IF(발주발송관리!M263=R263,0,발주발송관리!M263&amp;T263&amp;S263&amp;U263)</f>
        <v>0</v>
      </c>
      <c r="N263" s="16">
        <f>발주발송관리!AZ263</f>
        <v>0</v>
      </c>
      <c r="O263" s="16">
        <f>발주발송관리!AW263</f>
        <v>0</v>
      </c>
      <c r="P263" s="18"/>
      <c r="Q263" s="18">
        <f>발주발송관리!BB263</f>
        <v>0</v>
      </c>
      <c r="S263" s="20" t="str">
        <f t="shared" si="12"/>
        <v/>
      </c>
      <c r="T263" s="20" t="s">
        <v>275</v>
      </c>
      <c r="U263" s="20" t="s">
        <v>285</v>
      </c>
    </row>
    <row r="264" spans="1:21">
      <c r="A264" s="9" t="s">
        <v>295</v>
      </c>
      <c r="B264" s="9" t="s">
        <v>296</v>
      </c>
      <c r="C264" s="16">
        <f t="shared" si="11"/>
        <v>0</v>
      </c>
      <c r="D264" s="16">
        <f>IFERROR(TRIM(LEFT(발주발송관리!T264,FIND(" ",발주발송관리!T264)-1)),0)</f>
        <v>0</v>
      </c>
      <c r="E264" s="16">
        <f>IFERROR(MID(발주발송관리!T264,FIND(" ",발주발송관리!T264)+1,LEN(발주발송관리!T264)-FIND(" ",발주발송관리!T264)+1),0)</f>
        <v>0</v>
      </c>
      <c r="F264" s="16">
        <f>발주발송관리!W264</f>
        <v>0</v>
      </c>
      <c r="G264" s="11">
        <f>발주발송관리!Y264</f>
        <v>0</v>
      </c>
      <c r="H264" s="17">
        <f>발주발송관리!Z264/1.6</f>
        <v>0</v>
      </c>
      <c r="I264" s="10"/>
      <c r="J264" s="10"/>
      <c r="K264" s="11"/>
      <c r="L264" s="11"/>
      <c r="M264" s="16">
        <f>IF(발주발송관리!M264=R264,0,발주발송관리!M264&amp;T264&amp;S264&amp;U264)</f>
        <v>0</v>
      </c>
      <c r="N264" s="16">
        <f>발주발송관리!AZ264</f>
        <v>0</v>
      </c>
      <c r="O264" s="16">
        <f>발주발송관리!AW264</f>
        <v>0</v>
      </c>
      <c r="P264" s="18"/>
      <c r="Q264" s="18">
        <f>발주발송관리!BB264</f>
        <v>0</v>
      </c>
      <c r="S264" s="20" t="str">
        <f t="shared" si="12"/>
        <v/>
      </c>
      <c r="T264" s="20" t="s">
        <v>275</v>
      </c>
      <c r="U264" s="20" t="s">
        <v>285</v>
      </c>
    </row>
    <row r="265" spans="1:21">
      <c r="A265" s="9" t="s">
        <v>295</v>
      </c>
      <c r="B265" s="9" t="s">
        <v>296</v>
      </c>
      <c r="C265" s="16">
        <f t="shared" si="11"/>
        <v>0</v>
      </c>
      <c r="D265" s="16">
        <f>IFERROR(TRIM(LEFT(발주발송관리!T265,FIND(" ",발주발송관리!T265)-1)),0)</f>
        <v>0</v>
      </c>
      <c r="E265" s="16">
        <f>IFERROR(MID(발주발송관리!T265,FIND(" ",발주발송관리!T265)+1,LEN(발주발송관리!T265)-FIND(" ",발주발송관리!T265)+1),0)</f>
        <v>0</v>
      </c>
      <c r="F265" s="16">
        <f>발주발송관리!W265</f>
        <v>0</v>
      </c>
      <c r="G265" s="11">
        <f>발주발송관리!Y265</f>
        <v>0</v>
      </c>
      <c r="H265" s="17">
        <f>발주발송관리!Z265/1.6</f>
        <v>0</v>
      </c>
      <c r="I265" s="10"/>
      <c r="J265" s="10"/>
      <c r="K265" s="11"/>
      <c r="L265" s="11"/>
      <c r="M265" s="16">
        <f>IF(발주발송관리!M265=R265,0,발주발송관리!M265&amp;T265&amp;S265&amp;U265)</f>
        <v>0</v>
      </c>
      <c r="N265" s="16">
        <f>발주발송관리!AZ265</f>
        <v>0</v>
      </c>
      <c r="O265" s="16">
        <f>발주발송관리!AW265</f>
        <v>0</v>
      </c>
      <c r="P265" s="18"/>
      <c r="Q265" s="18">
        <f>발주발송관리!BB265</f>
        <v>0</v>
      </c>
      <c r="S265" s="20" t="str">
        <f t="shared" si="12"/>
        <v/>
      </c>
      <c r="T265" s="20" t="s">
        <v>275</v>
      </c>
      <c r="U265" s="20" t="s">
        <v>285</v>
      </c>
    </row>
    <row r="266" spans="1:21">
      <c r="A266" s="9" t="s">
        <v>295</v>
      </c>
      <c r="B266" s="9" t="s">
        <v>296</v>
      </c>
      <c r="C266" s="16">
        <f t="shared" si="11"/>
        <v>0</v>
      </c>
      <c r="D266" s="16">
        <f>IFERROR(TRIM(LEFT(발주발송관리!T266,FIND(" ",발주발송관리!T266)-1)),0)</f>
        <v>0</v>
      </c>
      <c r="E266" s="16">
        <f>IFERROR(MID(발주발송관리!T266,FIND(" ",발주발송관리!T266)+1,LEN(발주발송관리!T266)-FIND(" ",발주발송관리!T266)+1),0)</f>
        <v>0</v>
      </c>
      <c r="F266" s="16">
        <f>발주발송관리!W266</f>
        <v>0</v>
      </c>
      <c r="G266" s="11">
        <f>발주발송관리!Y266</f>
        <v>0</v>
      </c>
      <c r="H266" s="17">
        <f>발주발송관리!Z266/1.6</f>
        <v>0</v>
      </c>
      <c r="I266" s="10"/>
      <c r="J266" s="10"/>
      <c r="K266" s="11"/>
      <c r="L266" s="11"/>
      <c r="M266" s="16">
        <f>IF(발주발송관리!M266=R266,0,발주발송관리!M266&amp;T266&amp;S266&amp;U266)</f>
        <v>0</v>
      </c>
      <c r="N266" s="16">
        <f>발주발송관리!AZ266</f>
        <v>0</v>
      </c>
      <c r="O266" s="16">
        <f>발주발송관리!AW266</f>
        <v>0</v>
      </c>
      <c r="P266" s="18"/>
      <c r="Q266" s="18">
        <f>발주발송관리!BB266</f>
        <v>0</v>
      </c>
      <c r="S266" s="20" t="str">
        <f t="shared" si="12"/>
        <v/>
      </c>
      <c r="T266" s="20" t="s">
        <v>275</v>
      </c>
      <c r="U266" s="20" t="s">
        <v>285</v>
      </c>
    </row>
    <row r="267" spans="1:21">
      <c r="A267" s="9" t="s">
        <v>295</v>
      </c>
      <c r="B267" s="9" t="s">
        <v>296</v>
      </c>
      <c r="C267" s="16">
        <f t="shared" si="11"/>
        <v>0</v>
      </c>
      <c r="D267" s="16">
        <f>IFERROR(TRIM(LEFT(발주발송관리!T267,FIND(" ",발주발송관리!T267)-1)),0)</f>
        <v>0</v>
      </c>
      <c r="E267" s="16">
        <f>IFERROR(MID(발주발송관리!T267,FIND(" ",발주발송관리!T267)+1,LEN(발주발송관리!T267)-FIND(" ",발주발송관리!T267)+1),0)</f>
        <v>0</v>
      </c>
      <c r="F267" s="16">
        <f>발주발송관리!W267</f>
        <v>0</v>
      </c>
      <c r="G267" s="11">
        <f>발주발송관리!Y267</f>
        <v>0</v>
      </c>
      <c r="H267" s="17">
        <f>발주발송관리!Z267/1.6</f>
        <v>0</v>
      </c>
      <c r="I267" s="10"/>
      <c r="J267" s="10"/>
      <c r="K267" s="11"/>
      <c r="L267" s="11"/>
      <c r="M267" s="16">
        <f>IF(발주발송관리!M267=R267,0,발주발송관리!M267&amp;T267&amp;S267&amp;U267)</f>
        <v>0</v>
      </c>
      <c r="N267" s="16">
        <f>발주발송관리!AZ267</f>
        <v>0</v>
      </c>
      <c r="O267" s="16">
        <f>발주발송관리!AW267</f>
        <v>0</v>
      </c>
      <c r="P267" s="18"/>
      <c r="Q267" s="18">
        <f>발주발송관리!BB267</f>
        <v>0</v>
      </c>
      <c r="S267" s="20" t="str">
        <f t="shared" si="12"/>
        <v/>
      </c>
      <c r="T267" s="20" t="s">
        <v>275</v>
      </c>
      <c r="U267" s="20" t="s">
        <v>285</v>
      </c>
    </row>
    <row r="268" spans="1:21">
      <c r="A268" s="9" t="s">
        <v>295</v>
      </c>
      <c r="B268" s="9" t="s">
        <v>296</v>
      </c>
      <c r="C268" s="16">
        <f t="shared" si="11"/>
        <v>0</v>
      </c>
      <c r="D268" s="16">
        <f>IFERROR(TRIM(LEFT(발주발송관리!T268,FIND(" ",발주발송관리!T268)-1)),0)</f>
        <v>0</v>
      </c>
      <c r="E268" s="16">
        <f>IFERROR(MID(발주발송관리!T268,FIND(" ",발주발송관리!T268)+1,LEN(발주발송관리!T268)-FIND(" ",발주발송관리!T268)+1),0)</f>
        <v>0</v>
      </c>
      <c r="F268" s="16">
        <f>발주발송관리!W268</f>
        <v>0</v>
      </c>
      <c r="G268" s="11">
        <f>발주발송관리!Y268</f>
        <v>0</v>
      </c>
      <c r="H268" s="17">
        <f>발주발송관리!Z268/1.6</f>
        <v>0</v>
      </c>
      <c r="I268" s="10"/>
      <c r="J268" s="10"/>
      <c r="K268" s="11"/>
      <c r="L268" s="11"/>
      <c r="M268" s="16">
        <f>IF(발주발송관리!M268=R268,0,발주발송관리!M268&amp;T268&amp;S268&amp;U268)</f>
        <v>0</v>
      </c>
      <c r="N268" s="16">
        <f>발주발송관리!AZ268</f>
        <v>0</v>
      </c>
      <c r="O268" s="16">
        <f>발주발송관리!AW268</f>
        <v>0</v>
      </c>
      <c r="P268" s="18"/>
      <c r="Q268" s="18">
        <f>발주발송관리!BB268</f>
        <v>0</v>
      </c>
      <c r="S268" s="20" t="str">
        <f t="shared" si="12"/>
        <v/>
      </c>
      <c r="T268" s="20" t="s">
        <v>275</v>
      </c>
      <c r="U268" s="20" t="s">
        <v>285</v>
      </c>
    </row>
    <row r="269" spans="1:21">
      <c r="A269" s="9" t="s">
        <v>295</v>
      </c>
      <c r="B269" s="9" t="s">
        <v>296</v>
      </c>
      <c r="C269" s="16">
        <f t="shared" si="11"/>
        <v>0</v>
      </c>
      <c r="D269" s="16">
        <f>IFERROR(TRIM(LEFT(발주발송관리!T269,FIND(" ",발주발송관리!T269)-1)),0)</f>
        <v>0</v>
      </c>
      <c r="E269" s="16">
        <f>IFERROR(MID(발주발송관리!T269,FIND(" ",발주발송관리!T269)+1,LEN(발주발송관리!T269)-FIND(" ",발주발송관리!T269)+1),0)</f>
        <v>0</v>
      </c>
      <c r="F269" s="16">
        <f>발주발송관리!W269</f>
        <v>0</v>
      </c>
      <c r="G269" s="11">
        <f>발주발송관리!Y269</f>
        <v>0</v>
      </c>
      <c r="H269" s="17">
        <f>발주발송관리!Z269/1.6</f>
        <v>0</v>
      </c>
      <c r="I269" s="10"/>
      <c r="J269" s="10"/>
      <c r="K269" s="11"/>
      <c r="L269" s="11"/>
      <c r="M269" s="16">
        <f>IF(발주발송관리!M269=R269,0,발주발송관리!M269&amp;T269&amp;S269&amp;U269)</f>
        <v>0</v>
      </c>
      <c r="N269" s="16">
        <f>발주발송관리!AZ269</f>
        <v>0</v>
      </c>
      <c r="O269" s="16">
        <f>발주발송관리!AW269</f>
        <v>0</v>
      </c>
      <c r="P269" s="18"/>
      <c r="Q269" s="18">
        <f>발주발송관리!BB269</f>
        <v>0</v>
      </c>
      <c r="S269" s="20" t="str">
        <f t="shared" si="12"/>
        <v/>
      </c>
      <c r="T269" s="20" t="s">
        <v>275</v>
      </c>
      <c r="U269" s="20" t="s">
        <v>285</v>
      </c>
    </row>
    <row r="270" spans="1:21">
      <c r="A270" s="9" t="s">
        <v>295</v>
      </c>
      <c r="B270" s="9" t="s">
        <v>296</v>
      </c>
      <c r="C270" s="16">
        <f t="shared" si="11"/>
        <v>0</v>
      </c>
      <c r="D270" s="16">
        <f>IFERROR(TRIM(LEFT(발주발송관리!T270,FIND(" ",발주발송관리!T270)-1)),0)</f>
        <v>0</v>
      </c>
      <c r="E270" s="16">
        <f>IFERROR(MID(발주발송관리!T270,FIND(" ",발주발송관리!T270)+1,LEN(발주발송관리!T270)-FIND(" ",발주발송관리!T270)+1),0)</f>
        <v>0</v>
      </c>
      <c r="F270" s="16">
        <f>발주발송관리!W270</f>
        <v>0</v>
      </c>
      <c r="G270" s="11">
        <f>발주발송관리!Y270</f>
        <v>0</v>
      </c>
      <c r="H270" s="17">
        <f>발주발송관리!Z270/1.6</f>
        <v>0</v>
      </c>
      <c r="I270" s="10"/>
      <c r="J270" s="10"/>
      <c r="K270" s="11"/>
      <c r="L270" s="11"/>
      <c r="M270" s="16">
        <f>IF(발주발송관리!M270=R270,0,발주발송관리!M270&amp;T270&amp;S270&amp;U270)</f>
        <v>0</v>
      </c>
      <c r="N270" s="16">
        <f>발주발송관리!AZ270</f>
        <v>0</v>
      </c>
      <c r="O270" s="16">
        <f>발주발송관리!AW270</f>
        <v>0</v>
      </c>
      <c r="P270" s="18"/>
      <c r="Q270" s="18">
        <f>발주발송관리!BB270</f>
        <v>0</v>
      </c>
      <c r="S270" s="20" t="str">
        <f t="shared" si="12"/>
        <v/>
      </c>
      <c r="T270" s="20" t="s">
        <v>275</v>
      </c>
      <c r="U270" s="20" t="s">
        <v>285</v>
      </c>
    </row>
    <row r="271" spans="1:21">
      <c r="A271" s="9" t="s">
        <v>295</v>
      </c>
      <c r="B271" s="9" t="s">
        <v>296</v>
      </c>
      <c r="C271" s="16">
        <f t="shared" si="11"/>
        <v>0</v>
      </c>
      <c r="D271" s="16">
        <f>IFERROR(TRIM(LEFT(발주발송관리!T271,FIND(" ",발주발송관리!T271)-1)),0)</f>
        <v>0</v>
      </c>
      <c r="E271" s="16">
        <f>IFERROR(MID(발주발송관리!T271,FIND(" ",발주발송관리!T271)+1,LEN(발주발송관리!T271)-FIND(" ",발주발송관리!T271)+1),0)</f>
        <v>0</v>
      </c>
      <c r="F271" s="16">
        <f>발주발송관리!W271</f>
        <v>0</v>
      </c>
      <c r="G271" s="11">
        <f>발주발송관리!Y271</f>
        <v>0</v>
      </c>
      <c r="H271" s="17">
        <f>발주발송관리!Z271/1.6</f>
        <v>0</v>
      </c>
      <c r="I271" s="10"/>
      <c r="J271" s="10"/>
      <c r="K271" s="11"/>
      <c r="L271" s="11"/>
      <c r="M271" s="16">
        <f>IF(발주발송관리!M271=R271,0,발주발송관리!M271&amp;T271&amp;S271&amp;U271)</f>
        <v>0</v>
      </c>
      <c r="N271" s="16">
        <f>발주발송관리!AZ271</f>
        <v>0</v>
      </c>
      <c r="O271" s="16">
        <f>발주발송관리!AW271</f>
        <v>0</v>
      </c>
      <c r="P271" s="18"/>
      <c r="Q271" s="18">
        <f>발주발송관리!BB271</f>
        <v>0</v>
      </c>
      <c r="S271" s="20" t="str">
        <f t="shared" si="12"/>
        <v/>
      </c>
      <c r="T271" s="20" t="s">
        <v>275</v>
      </c>
      <c r="U271" s="20" t="s">
        <v>285</v>
      </c>
    </row>
    <row r="272" spans="1:21">
      <c r="A272" s="9" t="s">
        <v>295</v>
      </c>
      <c r="B272" s="9" t="s">
        <v>296</v>
      </c>
      <c r="C272" s="16">
        <f t="shared" si="11"/>
        <v>0</v>
      </c>
      <c r="D272" s="16">
        <f>IFERROR(TRIM(LEFT(발주발송관리!T272,FIND(" ",발주발송관리!T272)-1)),0)</f>
        <v>0</v>
      </c>
      <c r="E272" s="16">
        <f>IFERROR(MID(발주발송관리!T272,FIND(" ",발주발송관리!T272)+1,LEN(발주발송관리!T272)-FIND(" ",발주발송관리!T272)+1),0)</f>
        <v>0</v>
      </c>
      <c r="F272" s="16">
        <f>발주발송관리!W272</f>
        <v>0</v>
      </c>
      <c r="G272" s="11">
        <f>발주발송관리!Y272</f>
        <v>0</v>
      </c>
      <c r="H272" s="17">
        <f>발주발송관리!Z272/1.6</f>
        <v>0</v>
      </c>
      <c r="I272" s="10"/>
      <c r="J272" s="10"/>
      <c r="K272" s="11"/>
      <c r="L272" s="11"/>
      <c r="M272" s="16">
        <f>IF(발주발송관리!M272=R272,0,발주발송관리!M272&amp;T272&amp;S272&amp;U272)</f>
        <v>0</v>
      </c>
      <c r="N272" s="16">
        <f>발주발송관리!AZ272</f>
        <v>0</v>
      </c>
      <c r="O272" s="16">
        <f>발주발송관리!AW272</f>
        <v>0</v>
      </c>
      <c r="P272" s="18"/>
      <c r="Q272" s="18">
        <f>발주발송관리!BB272</f>
        <v>0</v>
      </c>
      <c r="S272" s="20" t="str">
        <f t="shared" si="12"/>
        <v/>
      </c>
      <c r="T272" s="20" t="s">
        <v>275</v>
      </c>
      <c r="U272" s="20" t="s">
        <v>285</v>
      </c>
    </row>
    <row r="273" spans="1:21">
      <c r="A273" s="9" t="s">
        <v>295</v>
      </c>
      <c r="B273" s="9" t="s">
        <v>296</v>
      </c>
      <c r="C273" s="16">
        <f t="shared" si="11"/>
        <v>0</v>
      </c>
      <c r="D273" s="16">
        <f>IFERROR(TRIM(LEFT(발주발송관리!T273,FIND(" ",발주발송관리!T273)-1)),0)</f>
        <v>0</v>
      </c>
      <c r="E273" s="16">
        <f>IFERROR(MID(발주발송관리!T273,FIND(" ",발주발송관리!T273)+1,LEN(발주발송관리!T273)-FIND(" ",발주발송관리!T273)+1),0)</f>
        <v>0</v>
      </c>
      <c r="F273" s="16">
        <f>발주발송관리!W273</f>
        <v>0</v>
      </c>
      <c r="G273" s="11">
        <f>발주발송관리!Y273</f>
        <v>0</v>
      </c>
      <c r="H273" s="17">
        <f>발주발송관리!Z273/1.6</f>
        <v>0</v>
      </c>
      <c r="I273" s="10"/>
      <c r="J273" s="10"/>
      <c r="K273" s="11"/>
      <c r="L273" s="11"/>
      <c r="M273" s="16">
        <f>IF(발주발송관리!M273=R273,0,발주발송관리!M273&amp;T273&amp;S273&amp;U273)</f>
        <v>0</v>
      </c>
      <c r="N273" s="16">
        <f>발주발송관리!AZ273</f>
        <v>0</v>
      </c>
      <c r="O273" s="16">
        <f>발주발송관리!AW273</f>
        <v>0</v>
      </c>
      <c r="P273" s="18"/>
      <c r="Q273" s="18">
        <f>발주발송관리!BB273</f>
        <v>0</v>
      </c>
      <c r="S273" s="20" t="str">
        <f t="shared" si="12"/>
        <v/>
      </c>
      <c r="T273" s="20" t="s">
        <v>275</v>
      </c>
      <c r="U273" s="20" t="s">
        <v>285</v>
      </c>
    </row>
    <row r="274" spans="1:21">
      <c r="A274" s="9" t="s">
        <v>295</v>
      </c>
      <c r="B274" s="9" t="s">
        <v>296</v>
      </c>
      <c r="C274" s="16">
        <f t="shared" si="11"/>
        <v>0</v>
      </c>
      <c r="D274" s="16">
        <f>IFERROR(TRIM(LEFT(발주발송관리!T274,FIND(" ",발주발송관리!T274)-1)),0)</f>
        <v>0</v>
      </c>
      <c r="E274" s="16">
        <f>IFERROR(MID(발주발송관리!T274,FIND(" ",발주발송관리!T274)+1,LEN(발주발송관리!T274)-FIND(" ",발주발송관리!T274)+1),0)</f>
        <v>0</v>
      </c>
      <c r="F274" s="16">
        <f>발주발송관리!W274</f>
        <v>0</v>
      </c>
      <c r="G274" s="11">
        <f>발주발송관리!Y274</f>
        <v>0</v>
      </c>
      <c r="H274" s="17">
        <f>발주발송관리!Z274/1.6</f>
        <v>0</v>
      </c>
      <c r="I274" s="10"/>
      <c r="J274" s="10"/>
      <c r="K274" s="11"/>
      <c r="L274" s="11"/>
      <c r="M274" s="16">
        <f>IF(발주발송관리!M274=R274,0,발주발송관리!M274&amp;T274&amp;S274&amp;U274)</f>
        <v>0</v>
      </c>
      <c r="N274" s="16">
        <f>발주발송관리!AZ274</f>
        <v>0</v>
      </c>
      <c r="O274" s="16">
        <f>발주발송관리!AW274</f>
        <v>0</v>
      </c>
      <c r="P274" s="18"/>
      <c r="Q274" s="18">
        <f>발주발송관리!BB274</f>
        <v>0</v>
      </c>
      <c r="S274" s="20" t="str">
        <f t="shared" si="12"/>
        <v/>
      </c>
      <c r="T274" s="20" t="s">
        <v>275</v>
      </c>
      <c r="U274" s="20" t="s">
        <v>285</v>
      </c>
    </row>
    <row r="275" spans="1:21">
      <c r="A275" s="9" t="s">
        <v>295</v>
      </c>
      <c r="B275" s="9" t="s">
        <v>296</v>
      </c>
      <c r="C275" s="16">
        <f t="shared" si="11"/>
        <v>0</v>
      </c>
      <c r="D275" s="16">
        <f>IFERROR(TRIM(LEFT(발주발송관리!T275,FIND(" ",발주발송관리!T275)-1)),0)</f>
        <v>0</v>
      </c>
      <c r="E275" s="16">
        <f>IFERROR(MID(발주발송관리!T275,FIND(" ",발주발송관리!T275)+1,LEN(발주발송관리!T275)-FIND(" ",발주발송관리!T275)+1),0)</f>
        <v>0</v>
      </c>
      <c r="F275" s="16">
        <f>발주발송관리!W275</f>
        <v>0</v>
      </c>
      <c r="G275" s="11">
        <f>발주발송관리!Y275</f>
        <v>0</v>
      </c>
      <c r="H275" s="17">
        <f>발주발송관리!Z275/1.6</f>
        <v>0</v>
      </c>
      <c r="I275" s="10"/>
      <c r="J275" s="10"/>
      <c r="K275" s="11"/>
      <c r="L275" s="11"/>
      <c r="M275" s="16">
        <f>IF(발주발송관리!M275=R275,0,발주발송관리!M275&amp;T275&amp;S275&amp;U275)</f>
        <v>0</v>
      </c>
      <c r="N275" s="16">
        <f>발주발송관리!AZ275</f>
        <v>0</v>
      </c>
      <c r="O275" s="16">
        <f>발주발송관리!AW275</f>
        <v>0</v>
      </c>
      <c r="P275" s="18"/>
      <c r="Q275" s="18">
        <f>발주발송관리!BB275</f>
        <v>0</v>
      </c>
      <c r="S275" s="20" t="str">
        <f t="shared" si="12"/>
        <v/>
      </c>
      <c r="T275" s="20" t="s">
        <v>275</v>
      </c>
      <c r="U275" s="20" t="s">
        <v>285</v>
      </c>
    </row>
    <row r="276" spans="1:21">
      <c r="A276" s="9" t="s">
        <v>295</v>
      </c>
      <c r="B276" s="9" t="s">
        <v>296</v>
      </c>
      <c r="C276" s="16">
        <f t="shared" si="11"/>
        <v>0</v>
      </c>
      <c r="D276" s="16">
        <f>IFERROR(TRIM(LEFT(발주발송관리!T276,FIND(" ",발주발송관리!T276)-1)),0)</f>
        <v>0</v>
      </c>
      <c r="E276" s="16">
        <f>IFERROR(MID(발주발송관리!T276,FIND(" ",발주발송관리!T276)+1,LEN(발주발송관리!T276)-FIND(" ",발주발송관리!T276)+1),0)</f>
        <v>0</v>
      </c>
      <c r="F276" s="16">
        <f>발주발송관리!W276</f>
        <v>0</v>
      </c>
      <c r="G276" s="11">
        <f>발주발송관리!Y276</f>
        <v>0</v>
      </c>
      <c r="H276" s="17">
        <f>발주발송관리!Z276/1.6</f>
        <v>0</v>
      </c>
      <c r="I276" s="10"/>
      <c r="J276" s="10"/>
      <c r="K276" s="11"/>
      <c r="L276" s="11"/>
      <c r="M276" s="16">
        <f>IF(발주발송관리!M276=R276,0,발주발송관리!M276&amp;T276&amp;S276&amp;U276)</f>
        <v>0</v>
      </c>
      <c r="N276" s="16">
        <f>발주발송관리!AZ276</f>
        <v>0</v>
      </c>
      <c r="O276" s="16">
        <f>발주발송관리!AW276</f>
        <v>0</v>
      </c>
      <c r="P276" s="18"/>
      <c r="Q276" s="18">
        <f>발주발송관리!BB276</f>
        <v>0</v>
      </c>
      <c r="S276" s="20" t="str">
        <f t="shared" si="12"/>
        <v/>
      </c>
      <c r="T276" s="20" t="s">
        <v>275</v>
      </c>
      <c r="U276" s="20" t="s">
        <v>285</v>
      </c>
    </row>
    <row r="277" spans="1:21">
      <c r="A277" s="9" t="s">
        <v>295</v>
      </c>
      <c r="B277" s="9" t="s">
        <v>296</v>
      </c>
      <c r="C277" s="16">
        <f t="shared" si="11"/>
        <v>0</v>
      </c>
      <c r="D277" s="16">
        <f>IFERROR(TRIM(LEFT(발주발송관리!T277,FIND(" ",발주발송관리!T277)-1)),0)</f>
        <v>0</v>
      </c>
      <c r="E277" s="16">
        <f>IFERROR(MID(발주발송관리!T277,FIND(" ",발주발송관리!T277)+1,LEN(발주발송관리!T277)-FIND(" ",발주발송관리!T277)+1),0)</f>
        <v>0</v>
      </c>
      <c r="F277" s="16">
        <f>발주발송관리!W277</f>
        <v>0</v>
      </c>
      <c r="G277" s="11">
        <f>발주발송관리!Y277</f>
        <v>0</v>
      </c>
      <c r="H277" s="17">
        <f>발주발송관리!Z277/1.6</f>
        <v>0</v>
      </c>
      <c r="I277" s="10"/>
      <c r="J277" s="10"/>
      <c r="K277" s="11"/>
      <c r="L277" s="11"/>
      <c r="M277" s="16">
        <f>IF(발주발송관리!M277=R277,0,발주발송관리!M277&amp;T277&amp;S277&amp;U277)</f>
        <v>0</v>
      </c>
      <c r="N277" s="16">
        <f>발주발송관리!AZ277</f>
        <v>0</v>
      </c>
      <c r="O277" s="16">
        <f>발주발송관리!AW277</f>
        <v>0</v>
      </c>
      <c r="P277" s="18"/>
      <c r="Q277" s="18">
        <f>발주발송관리!BB277</f>
        <v>0</v>
      </c>
      <c r="S277" s="20" t="str">
        <f t="shared" si="12"/>
        <v/>
      </c>
      <c r="T277" s="20" t="s">
        <v>275</v>
      </c>
      <c r="U277" s="20" t="s">
        <v>285</v>
      </c>
    </row>
    <row r="278" spans="1:21">
      <c r="A278" s="9" t="s">
        <v>295</v>
      </c>
      <c r="B278" s="9" t="s">
        <v>296</v>
      </c>
      <c r="C278" s="16">
        <f t="shared" si="11"/>
        <v>0</v>
      </c>
      <c r="D278" s="16">
        <f>IFERROR(TRIM(LEFT(발주발송관리!T278,FIND(" ",발주발송관리!T278)-1)),0)</f>
        <v>0</v>
      </c>
      <c r="E278" s="16">
        <f>IFERROR(MID(발주발송관리!T278,FIND(" ",발주발송관리!T278)+1,LEN(발주발송관리!T278)-FIND(" ",발주발송관리!T278)+1),0)</f>
        <v>0</v>
      </c>
      <c r="F278" s="16">
        <f>발주발송관리!W278</f>
        <v>0</v>
      </c>
      <c r="G278" s="11">
        <f>발주발송관리!Y278</f>
        <v>0</v>
      </c>
      <c r="H278" s="17">
        <f>발주발송관리!Z278/1.6</f>
        <v>0</v>
      </c>
      <c r="I278" s="10"/>
      <c r="J278" s="10"/>
      <c r="K278" s="11"/>
      <c r="L278" s="11"/>
      <c r="M278" s="16">
        <f>IF(발주발송관리!M278=R278,0,발주발송관리!M278&amp;T278&amp;S278&amp;U278)</f>
        <v>0</v>
      </c>
      <c r="N278" s="16">
        <f>발주발송관리!AZ278</f>
        <v>0</v>
      </c>
      <c r="O278" s="16">
        <f>발주발송관리!AW278</f>
        <v>0</v>
      </c>
      <c r="P278" s="18"/>
      <c r="Q278" s="18">
        <f>발주발송관리!BB278</f>
        <v>0</v>
      </c>
      <c r="S278" s="20" t="str">
        <f t="shared" si="12"/>
        <v/>
      </c>
      <c r="T278" s="20" t="s">
        <v>275</v>
      </c>
      <c r="U278" s="20" t="s">
        <v>285</v>
      </c>
    </row>
    <row r="279" spans="1:21">
      <c r="A279" s="9" t="s">
        <v>295</v>
      </c>
      <c r="B279" s="9" t="s">
        <v>296</v>
      </c>
      <c r="C279" s="16">
        <f t="shared" si="11"/>
        <v>0</v>
      </c>
      <c r="D279" s="16">
        <f>IFERROR(TRIM(LEFT(발주발송관리!T279,FIND(" ",발주발송관리!T279)-1)),0)</f>
        <v>0</v>
      </c>
      <c r="E279" s="16">
        <f>IFERROR(MID(발주발송관리!T279,FIND(" ",발주발송관리!T279)+1,LEN(발주발송관리!T279)-FIND(" ",발주발송관리!T279)+1),0)</f>
        <v>0</v>
      </c>
      <c r="F279" s="16">
        <f>발주발송관리!W279</f>
        <v>0</v>
      </c>
      <c r="G279" s="11">
        <f>발주발송관리!Y279</f>
        <v>0</v>
      </c>
      <c r="H279" s="17">
        <f>발주발송관리!Z279/1.6</f>
        <v>0</v>
      </c>
      <c r="I279" s="10"/>
      <c r="J279" s="10"/>
      <c r="K279" s="11"/>
      <c r="L279" s="11"/>
      <c r="M279" s="16">
        <f>IF(발주발송관리!M279=R279,0,발주발송관리!M279&amp;T279&amp;S279&amp;U279)</f>
        <v>0</v>
      </c>
      <c r="N279" s="16">
        <f>발주발송관리!AZ279</f>
        <v>0</v>
      </c>
      <c r="O279" s="16">
        <f>발주발송관리!AW279</f>
        <v>0</v>
      </c>
      <c r="P279" s="18"/>
      <c r="Q279" s="18">
        <f>발주발송관리!BB279</f>
        <v>0</v>
      </c>
      <c r="S279" s="20" t="str">
        <f t="shared" si="12"/>
        <v/>
      </c>
      <c r="T279" s="20" t="s">
        <v>275</v>
      </c>
      <c r="U279" s="20" t="s">
        <v>285</v>
      </c>
    </row>
    <row r="280" spans="1:21">
      <c r="A280" s="9" t="s">
        <v>295</v>
      </c>
      <c r="B280" s="9" t="s">
        <v>296</v>
      </c>
      <c r="C280" s="16">
        <f t="shared" si="11"/>
        <v>0</v>
      </c>
      <c r="D280" s="16">
        <f>IFERROR(TRIM(LEFT(발주발송관리!T280,FIND(" ",발주발송관리!T280)-1)),0)</f>
        <v>0</v>
      </c>
      <c r="E280" s="16">
        <f>IFERROR(MID(발주발송관리!T280,FIND(" ",발주발송관리!T280)+1,LEN(발주발송관리!T280)-FIND(" ",발주발송관리!T280)+1),0)</f>
        <v>0</v>
      </c>
      <c r="F280" s="16">
        <f>발주발송관리!W280</f>
        <v>0</v>
      </c>
      <c r="G280" s="11">
        <f>발주발송관리!Y280</f>
        <v>0</v>
      </c>
      <c r="H280" s="17">
        <f>발주발송관리!Z280/1.6</f>
        <v>0</v>
      </c>
      <c r="I280" s="10"/>
      <c r="J280" s="10"/>
      <c r="K280" s="11"/>
      <c r="L280" s="11"/>
      <c r="M280" s="16">
        <f>IF(발주발송관리!M280=R280,0,발주발송관리!M280&amp;T280&amp;S280&amp;U280)</f>
        <v>0</v>
      </c>
      <c r="N280" s="16">
        <f>발주발송관리!AZ280</f>
        <v>0</v>
      </c>
      <c r="O280" s="16">
        <f>발주발송관리!AW280</f>
        <v>0</v>
      </c>
      <c r="P280" s="18"/>
      <c r="Q280" s="18">
        <f>발주발송관리!BB280</f>
        <v>0</v>
      </c>
      <c r="S280" s="20" t="str">
        <f t="shared" si="12"/>
        <v/>
      </c>
      <c r="T280" s="20" t="s">
        <v>275</v>
      </c>
      <c r="U280" s="20" t="s">
        <v>285</v>
      </c>
    </row>
    <row r="281" spans="1:21">
      <c r="A281" s="9" t="s">
        <v>295</v>
      </c>
      <c r="B281" s="9" t="s">
        <v>296</v>
      </c>
      <c r="C281" s="16">
        <f t="shared" si="11"/>
        <v>0</v>
      </c>
      <c r="D281" s="16">
        <f>IFERROR(TRIM(LEFT(발주발송관리!T281,FIND(" ",발주발송관리!T281)-1)),0)</f>
        <v>0</v>
      </c>
      <c r="E281" s="16">
        <f>IFERROR(MID(발주발송관리!T281,FIND(" ",발주발송관리!T281)+1,LEN(발주발송관리!T281)-FIND(" ",발주발송관리!T281)+1),0)</f>
        <v>0</v>
      </c>
      <c r="F281" s="16">
        <f>발주발송관리!W281</f>
        <v>0</v>
      </c>
      <c r="G281" s="11">
        <f>발주발송관리!Y281</f>
        <v>0</v>
      </c>
      <c r="H281" s="17">
        <f>발주발송관리!Z281/1.6</f>
        <v>0</v>
      </c>
      <c r="I281" s="10"/>
      <c r="J281" s="10"/>
      <c r="K281" s="11"/>
      <c r="L281" s="11"/>
      <c r="M281" s="16">
        <f>IF(발주발송관리!M281=R281,0,발주발송관리!M281&amp;T281&amp;S281&amp;U281)</f>
        <v>0</v>
      </c>
      <c r="N281" s="16">
        <f>발주발송관리!AZ281</f>
        <v>0</v>
      </c>
      <c r="O281" s="16">
        <f>발주발송관리!AW281</f>
        <v>0</v>
      </c>
      <c r="P281" s="18"/>
      <c r="Q281" s="18">
        <f>발주발송관리!BB281</f>
        <v>0</v>
      </c>
      <c r="S281" s="20" t="str">
        <f t="shared" si="12"/>
        <v/>
      </c>
      <c r="T281" s="20" t="s">
        <v>275</v>
      </c>
      <c r="U281" s="20" t="s">
        <v>285</v>
      </c>
    </row>
    <row r="282" spans="1:21">
      <c r="A282" s="9" t="s">
        <v>295</v>
      </c>
      <c r="B282" s="9" t="s">
        <v>296</v>
      </c>
      <c r="C282" s="16">
        <f t="shared" si="11"/>
        <v>0</v>
      </c>
      <c r="D282" s="16">
        <f>IFERROR(TRIM(LEFT(발주발송관리!T282,FIND(" ",발주발송관리!T282)-1)),0)</f>
        <v>0</v>
      </c>
      <c r="E282" s="16">
        <f>IFERROR(MID(발주발송관리!T282,FIND(" ",발주발송관리!T282)+1,LEN(발주발송관리!T282)-FIND(" ",발주발송관리!T282)+1),0)</f>
        <v>0</v>
      </c>
      <c r="F282" s="16">
        <f>발주발송관리!W282</f>
        <v>0</v>
      </c>
      <c r="G282" s="11">
        <f>발주발송관리!Y282</f>
        <v>0</v>
      </c>
      <c r="H282" s="17">
        <f>발주발송관리!Z282/1.6</f>
        <v>0</v>
      </c>
      <c r="I282" s="10"/>
      <c r="J282" s="10"/>
      <c r="K282" s="11"/>
      <c r="L282" s="11"/>
      <c r="M282" s="16">
        <f>IF(발주발송관리!M282=R282,0,발주발송관리!M282&amp;T282&amp;S282&amp;U282)</f>
        <v>0</v>
      </c>
      <c r="N282" s="16">
        <f>발주발송관리!AZ282</f>
        <v>0</v>
      </c>
      <c r="O282" s="16">
        <f>발주발송관리!AW282</f>
        <v>0</v>
      </c>
      <c r="P282" s="18"/>
      <c r="Q282" s="18">
        <f>발주발송관리!BB282</f>
        <v>0</v>
      </c>
      <c r="S282" s="20" t="str">
        <f t="shared" si="12"/>
        <v/>
      </c>
      <c r="T282" s="20" t="s">
        <v>275</v>
      </c>
      <c r="U282" s="20" t="s">
        <v>285</v>
      </c>
    </row>
    <row r="283" spans="1:21">
      <c r="A283" s="9" t="s">
        <v>295</v>
      </c>
      <c r="B283" s="9" t="s">
        <v>296</v>
      </c>
      <c r="C283" s="16">
        <f t="shared" si="11"/>
        <v>0</v>
      </c>
      <c r="D283" s="16">
        <f>IFERROR(TRIM(LEFT(발주발송관리!T283,FIND(" ",발주발송관리!T283)-1)),0)</f>
        <v>0</v>
      </c>
      <c r="E283" s="16">
        <f>IFERROR(MID(발주발송관리!T283,FIND(" ",발주발송관리!T283)+1,LEN(발주발송관리!T283)-FIND(" ",발주발송관리!T283)+1),0)</f>
        <v>0</v>
      </c>
      <c r="F283" s="16">
        <f>발주발송관리!W283</f>
        <v>0</v>
      </c>
      <c r="G283" s="11">
        <f>발주발송관리!Y283</f>
        <v>0</v>
      </c>
      <c r="H283" s="17">
        <f>발주발송관리!Z283/1.6</f>
        <v>0</v>
      </c>
      <c r="I283" s="10"/>
      <c r="J283" s="10"/>
      <c r="K283" s="11"/>
      <c r="L283" s="11"/>
      <c r="M283" s="16">
        <f>IF(발주발송관리!M283=R283,0,발주발송관리!M283&amp;T283&amp;S283&amp;U283)</f>
        <v>0</v>
      </c>
      <c r="N283" s="16">
        <f>발주발송관리!AZ283</f>
        <v>0</v>
      </c>
      <c r="O283" s="16">
        <f>발주발송관리!AW283</f>
        <v>0</v>
      </c>
      <c r="P283" s="18"/>
      <c r="Q283" s="18">
        <f>발주발송관리!BB283</f>
        <v>0</v>
      </c>
      <c r="S283" s="20" t="str">
        <f t="shared" si="12"/>
        <v/>
      </c>
      <c r="T283" s="20" t="s">
        <v>275</v>
      </c>
      <c r="U283" s="20" t="s">
        <v>285</v>
      </c>
    </row>
    <row r="284" spans="1:21">
      <c r="A284" s="9" t="s">
        <v>295</v>
      </c>
      <c r="B284" s="9" t="s">
        <v>296</v>
      </c>
      <c r="C284" s="16">
        <f t="shared" si="11"/>
        <v>0</v>
      </c>
      <c r="D284" s="16">
        <f>IFERROR(TRIM(LEFT(발주발송관리!T284,FIND(" ",발주발송관리!T284)-1)),0)</f>
        <v>0</v>
      </c>
      <c r="E284" s="16">
        <f>IFERROR(MID(발주발송관리!T284,FIND(" ",발주발송관리!T284)+1,LEN(발주발송관리!T284)-FIND(" ",발주발송관리!T284)+1),0)</f>
        <v>0</v>
      </c>
      <c r="F284" s="16">
        <f>발주발송관리!W284</f>
        <v>0</v>
      </c>
      <c r="G284" s="11">
        <f>발주발송관리!Y284</f>
        <v>0</v>
      </c>
      <c r="H284" s="17">
        <f>발주발송관리!Z284/1.6</f>
        <v>0</v>
      </c>
      <c r="I284" s="10"/>
      <c r="J284" s="10"/>
      <c r="K284" s="11"/>
      <c r="L284" s="11"/>
      <c r="M284" s="16">
        <f>IF(발주발송관리!M284=R284,0,발주발송관리!M284&amp;T284&amp;S284&amp;U284)</f>
        <v>0</v>
      </c>
      <c r="N284" s="16">
        <f>발주발송관리!AZ284</f>
        <v>0</v>
      </c>
      <c r="O284" s="16">
        <f>발주발송관리!AW284</f>
        <v>0</v>
      </c>
      <c r="P284" s="18"/>
      <c r="Q284" s="18">
        <f>발주발송관리!BB284</f>
        <v>0</v>
      </c>
      <c r="S284" s="20" t="str">
        <f t="shared" si="12"/>
        <v/>
      </c>
      <c r="T284" s="20" t="s">
        <v>275</v>
      </c>
      <c r="U284" s="20" t="s">
        <v>285</v>
      </c>
    </row>
    <row r="285" spans="1:21">
      <c r="A285" s="9" t="s">
        <v>295</v>
      </c>
      <c r="B285" s="9" t="s">
        <v>296</v>
      </c>
      <c r="C285" s="16">
        <f t="shared" si="11"/>
        <v>0</v>
      </c>
      <c r="D285" s="16">
        <f>IFERROR(TRIM(LEFT(발주발송관리!T285,FIND(" ",발주발송관리!T285)-1)),0)</f>
        <v>0</v>
      </c>
      <c r="E285" s="16">
        <f>IFERROR(MID(발주발송관리!T285,FIND(" ",발주발송관리!T285)+1,LEN(발주발송관리!T285)-FIND(" ",발주발송관리!T285)+1),0)</f>
        <v>0</v>
      </c>
      <c r="F285" s="16">
        <f>발주발송관리!W285</f>
        <v>0</v>
      </c>
      <c r="G285" s="11">
        <f>발주발송관리!Y285</f>
        <v>0</v>
      </c>
      <c r="H285" s="17">
        <f>발주발송관리!Z285/1.6</f>
        <v>0</v>
      </c>
      <c r="I285" s="10"/>
      <c r="J285" s="10"/>
      <c r="K285" s="11"/>
      <c r="L285" s="11"/>
      <c r="M285" s="16">
        <f>IF(발주발송관리!M285=R285,0,발주발송관리!M285&amp;T285&amp;S285&amp;U285)</f>
        <v>0</v>
      </c>
      <c r="N285" s="16">
        <f>발주발송관리!AZ285</f>
        <v>0</v>
      </c>
      <c r="O285" s="16">
        <f>발주발송관리!AW285</f>
        <v>0</v>
      </c>
      <c r="P285" s="18"/>
      <c r="Q285" s="18">
        <f>발주발송관리!BB285</f>
        <v>0</v>
      </c>
      <c r="S285" s="20" t="str">
        <f t="shared" si="12"/>
        <v/>
      </c>
      <c r="T285" s="20" t="s">
        <v>275</v>
      </c>
      <c r="U285" s="20" t="s">
        <v>285</v>
      </c>
    </row>
    <row r="286" spans="1:21">
      <c r="A286" s="9" t="s">
        <v>295</v>
      </c>
      <c r="B286" s="9" t="s">
        <v>296</v>
      </c>
      <c r="C286" s="16">
        <f t="shared" si="11"/>
        <v>0</v>
      </c>
      <c r="D286" s="16">
        <f>IFERROR(TRIM(LEFT(발주발송관리!T286,FIND(" ",발주발송관리!T286)-1)),0)</f>
        <v>0</v>
      </c>
      <c r="E286" s="16">
        <f>IFERROR(MID(발주발송관리!T286,FIND(" ",발주발송관리!T286)+1,LEN(발주발송관리!T286)-FIND(" ",발주발송관리!T286)+1),0)</f>
        <v>0</v>
      </c>
      <c r="F286" s="16">
        <f>발주발송관리!W286</f>
        <v>0</v>
      </c>
      <c r="G286" s="11">
        <f>발주발송관리!Y286</f>
        <v>0</v>
      </c>
      <c r="H286" s="17">
        <f>발주발송관리!Z286/1.6</f>
        <v>0</v>
      </c>
      <c r="I286" s="10"/>
      <c r="J286" s="10"/>
      <c r="K286" s="11"/>
      <c r="L286" s="11"/>
      <c r="M286" s="16">
        <f>IF(발주발송관리!M286=R286,0,발주발송관리!M286&amp;T286&amp;S286&amp;U286)</f>
        <v>0</v>
      </c>
      <c r="N286" s="16">
        <f>발주발송관리!AZ286</f>
        <v>0</v>
      </c>
      <c r="O286" s="16">
        <f>발주발송관리!AW286</f>
        <v>0</v>
      </c>
      <c r="P286" s="18"/>
      <c r="Q286" s="18">
        <f>발주발송관리!BB286</f>
        <v>0</v>
      </c>
      <c r="S286" s="20" t="str">
        <f t="shared" si="12"/>
        <v/>
      </c>
      <c r="T286" s="20" t="s">
        <v>275</v>
      </c>
      <c r="U286" s="20" t="s">
        <v>285</v>
      </c>
    </row>
    <row r="287" spans="1:21">
      <c r="A287" s="9" t="s">
        <v>295</v>
      </c>
      <c r="B287" s="9" t="s">
        <v>296</v>
      </c>
      <c r="C287" s="16">
        <f t="shared" si="11"/>
        <v>0</v>
      </c>
      <c r="D287" s="16">
        <f>IFERROR(TRIM(LEFT(발주발송관리!T287,FIND(" ",발주발송관리!T287)-1)),0)</f>
        <v>0</v>
      </c>
      <c r="E287" s="16">
        <f>IFERROR(MID(발주발송관리!T287,FIND(" ",발주발송관리!T287)+1,LEN(발주발송관리!T287)-FIND(" ",발주발송관리!T287)+1),0)</f>
        <v>0</v>
      </c>
      <c r="F287" s="16">
        <f>발주발송관리!W287</f>
        <v>0</v>
      </c>
      <c r="G287" s="11">
        <f>발주발송관리!Y287</f>
        <v>0</v>
      </c>
      <c r="H287" s="17">
        <f>발주발송관리!Z287/1.6</f>
        <v>0</v>
      </c>
      <c r="I287" s="10"/>
      <c r="J287" s="10"/>
      <c r="K287" s="11"/>
      <c r="L287" s="11"/>
      <c r="M287" s="16">
        <f>IF(발주발송관리!M287=R287,0,발주발송관리!M287&amp;T287&amp;S287&amp;U287)</f>
        <v>0</v>
      </c>
      <c r="N287" s="16">
        <f>발주발송관리!AZ287</f>
        <v>0</v>
      </c>
      <c r="O287" s="16">
        <f>발주발송관리!AW287</f>
        <v>0</v>
      </c>
      <c r="P287" s="18"/>
      <c r="Q287" s="18">
        <f>발주발송관리!BB287</f>
        <v>0</v>
      </c>
      <c r="S287" s="20" t="str">
        <f t="shared" si="12"/>
        <v/>
      </c>
      <c r="T287" s="20" t="s">
        <v>275</v>
      </c>
      <c r="U287" s="20" t="s">
        <v>285</v>
      </c>
    </row>
    <row r="288" spans="1:21">
      <c r="A288" s="9" t="s">
        <v>295</v>
      </c>
      <c r="B288" s="9" t="s">
        <v>296</v>
      </c>
      <c r="C288" s="16">
        <f t="shared" ref="C288:C351" si="13">M288</f>
        <v>0</v>
      </c>
      <c r="D288" s="16">
        <f>IFERROR(TRIM(LEFT(발주발송관리!T288,FIND(" ",발주발송관리!T288)-1)),0)</f>
        <v>0</v>
      </c>
      <c r="E288" s="16">
        <f>IFERROR(MID(발주발송관리!T288,FIND(" ",발주발송관리!T288)+1,LEN(발주발송관리!T288)-FIND(" ",발주발송관리!T288)+1),0)</f>
        <v>0</v>
      </c>
      <c r="F288" s="16">
        <f>발주발송관리!W288</f>
        <v>0</v>
      </c>
      <c r="G288" s="11">
        <f>발주발송관리!Y288</f>
        <v>0</v>
      </c>
      <c r="H288" s="17">
        <f>발주발송관리!Z288/1.6</f>
        <v>0</v>
      </c>
      <c r="I288" s="10"/>
      <c r="J288" s="10"/>
      <c r="K288" s="11"/>
      <c r="L288" s="11"/>
      <c r="M288" s="16">
        <f>IF(발주발송관리!M288=R288,0,발주발송관리!M288&amp;T288&amp;S288&amp;U288)</f>
        <v>0</v>
      </c>
      <c r="N288" s="16">
        <f>발주발송관리!AZ288</f>
        <v>0</v>
      </c>
      <c r="O288" s="16">
        <f>발주발송관리!AW288</f>
        <v>0</v>
      </c>
      <c r="P288" s="18"/>
      <c r="Q288" s="18">
        <f>발주발송관리!BB288</f>
        <v>0</v>
      </c>
      <c r="S288" s="20" t="str">
        <f t="shared" si="12"/>
        <v/>
      </c>
      <c r="T288" s="20" t="s">
        <v>275</v>
      </c>
      <c r="U288" s="20" t="s">
        <v>285</v>
      </c>
    </row>
    <row r="289" spans="1:21">
      <c r="A289" s="9" t="s">
        <v>295</v>
      </c>
      <c r="B289" s="9" t="s">
        <v>296</v>
      </c>
      <c r="C289" s="16">
        <f t="shared" si="13"/>
        <v>0</v>
      </c>
      <c r="D289" s="16">
        <f>IFERROR(TRIM(LEFT(발주발송관리!T289,FIND(" ",발주발송관리!T289)-1)),0)</f>
        <v>0</v>
      </c>
      <c r="E289" s="16">
        <f>IFERROR(MID(발주발송관리!T289,FIND(" ",발주발송관리!T289)+1,LEN(발주발송관리!T289)-FIND(" ",발주발송관리!T289)+1),0)</f>
        <v>0</v>
      </c>
      <c r="F289" s="16">
        <f>발주발송관리!W289</f>
        <v>0</v>
      </c>
      <c r="G289" s="11">
        <f>발주발송관리!Y289</f>
        <v>0</v>
      </c>
      <c r="H289" s="17">
        <f>발주발송관리!Z289/1.6</f>
        <v>0</v>
      </c>
      <c r="I289" s="10"/>
      <c r="J289" s="10"/>
      <c r="K289" s="11"/>
      <c r="L289" s="11"/>
      <c r="M289" s="16">
        <f>IF(발주발송관리!M289=R289,0,발주발송관리!M289&amp;T289&amp;S289&amp;U289)</f>
        <v>0</v>
      </c>
      <c r="N289" s="16">
        <f>발주발송관리!AZ289</f>
        <v>0</v>
      </c>
      <c r="O289" s="16">
        <f>발주발송관리!AW289</f>
        <v>0</v>
      </c>
      <c r="P289" s="18"/>
      <c r="Q289" s="18">
        <f>발주발송관리!BB289</f>
        <v>0</v>
      </c>
      <c r="S289" s="20" t="str">
        <f t="shared" si="12"/>
        <v/>
      </c>
      <c r="T289" s="20" t="s">
        <v>275</v>
      </c>
      <c r="U289" s="20" t="s">
        <v>285</v>
      </c>
    </row>
    <row r="290" spans="1:21">
      <c r="A290" s="9" t="s">
        <v>295</v>
      </c>
      <c r="B290" s="9" t="s">
        <v>296</v>
      </c>
      <c r="C290" s="16">
        <f t="shared" si="13"/>
        <v>0</v>
      </c>
      <c r="D290" s="16">
        <f>IFERROR(TRIM(LEFT(발주발송관리!T290,FIND(" ",발주발송관리!T290)-1)),0)</f>
        <v>0</v>
      </c>
      <c r="E290" s="16">
        <f>IFERROR(MID(발주발송관리!T290,FIND(" ",발주발송관리!T290)+1,LEN(발주발송관리!T290)-FIND(" ",발주발송관리!T290)+1),0)</f>
        <v>0</v>
      </c>
      <c r="F290" s="16">
        <f>발주발송관리!W290</f>
        <v>0</v>
      </c>
      <c r="G290" s="11">
        <f>발주발송관리!Y290</f>
        <v>0</v>
      </c>
      <c r="H290" s="17">
        <f>발주발송관리!Z290/1.6</f>
        <v>0</v>
      </c>
      <c r="I290" s="10"/>
      <c r="J290" s="10"/>
      <c r="K290" s="11"/>
      <c r="L290" s="11"/>
      <c r="M290" s="16">
        <f>IF(발주발송관리!M290=R290,0,발주발송관리!M290&amp;T290&amp;S290&amp;U290)</f>
        <v>0</v>
      </c>
      <c r="N290" s="16">
        <f>발주발송관리!AZ290</f>
        <v>0</v>
      </c>
      <c r="O290" s="16">
        <f>발주발송관리!AW290</f>
        <v>0</v>
      </c>
      <c r="P290" s="18"/>
      <c r="Q290" s="18">
        <f>발주발송관리!BB290</f>
        <v>0</v>
      </c>
      <c r="S290" s="20" t="str">
        <f t="shared" si="12"/>
        <v/>
      </c>
      <c r="T290" s="20" t="s">
        <v>275</v>
      </c>
      <c r="U290" s="20" t="s">
        <v>285</v>
      </c>
    </row>
    <row r="291" spans="1:21">
      <c r="A291" s="9" t="s">
        <v>295</v>
      </c>
      <c r="B291" s="9" t="s">
        <v>296</v>
      </c>
      <c r="C291" s="16">
        <f t="shared" si="13"/>
        <v>0</v>
      </c>
      <c r="D291" s="16">
        <f>IFERROR(TRIM(LEFT(발주발송관리!T291,FIND(" ",발주발송관리!T291)-1)),0)</f>
        <v>0</v>
      </c>
      <c r="E291" s="16">
        <f>IFERROR(MID(발주발송관리!T291,FIND(" ",발주발송관리!T291)+1,LEN(발주발송관리!T291)-FIND(" ",발주발송관리!T291)+1),0)</f>
        <v>0</v>
      </c>
      <c r="F291" s="16">
        <f>발주발송관리!W291</f>
        <v>0</v>
      </c>
      <c r="G291" s="11">
        <f>발주발송관리!Y291</f>
        <v>0</v>
      </c>
      <c r="H291" s="17">
        <f>발주발송관리!Z291/1.6</f>
        <v>0</v>
      </c>
      <c r="I291" s="10"/>
      <c r="J291" s="10"/>
      <c r="K291" s="11"/>
      <c r="L291" s="11"/>
      <c r="M291" s="16">
        <f>IF(발주발송관리!M291=R291,0,발주발송관리!M291&amp;T291&amp;S291&amp;U291)</f>
        <v>0</v>
      </c>
      <c r="N291" s="16">
        <f>발주발송관리!AZ291</f>
        <v>0</v>
      </c>
      <c r="O291" s="16">
        <f>발주발송관리!AW291</f>
        <v>0</v>
      </c>
      <c r="P291" s="18"/>
      <c r="Q291" s="18">
        <f>발주발송관리!BB291</f>
        <v>0</v>
      </c>
      <c r="S291" s="20" t="str">
        <f t="shared" si="12"/>
        <v/>
      </c>
      <c r="T291" s="20" t="s">
        <v>275</v>
      </c>
      <c r="U291" s="20" t="s">
        <v>285</v>
      </c>
    </row>
    <row r="292" spans="1:21">
      <c r="A292" s="9" t="s">
        <v>295</v>
      </c>
      <c r="B292" s="9" t="s">
        <v>296</v>
      </c>
      <c r="C292" s="16">
        <f t="shared" si="13"/>
        <v>0</v>
      </c>
      <c r="D292" s="16">
        <f>IFERROR(TRIM(LEFT(발주발송관리!T292,FIND(" ",발주발송관리!T292)-1)),0)</f>
        <v>0</v>
      </c>
      <c r="E292" s="16">
        <f>IFERROR(MID(발주발송관리!T292,FIND(" ",발주발송관리!T292)+1,LEN(발주발송관리!T292)-FIND(" ",발주발송관리!T292)+1),0)</f>
        <v>0</v>
      </c>
      <c r="F292" s="16">
        <f>발주발송관리!W292</f>
        <v>0</v>
      </c>
      <c r="G292" s="11">
        <f>발주발송관리!Y292</f>
        <v>0</v>
      </c>
      <c r="H292" s="17">
        <f>발주발송관리!Z292/1.6</f>
        <v>0</v>
      </c>
      <c r="I292" s="10"/>
      <c r="J292" s="10"/>
      <c r="K292" s="11"/>
      <c r="L292" s="11"/>
      <c r="M292" s="16">
        <f>IF(발주발송관리!M292=R292,0,발주발송관리!M292&amp;T292&amp;S292&amp;U292)</f>
        <v>0</v>
      </c>
      <c r="N292" s="16">
        <f>발주발송관리!AZ292</f>
        <v>0</v>
      </c>
      <c r="O292" s="16">
        <f>발주발송관리!AW292</f>
        <v>0</v>
      </c>
      <c r="P292" s="18"/>
      <c r="Q292" s="18">
        <f>발주발송관리!BB292</f>
        <v>0</v>
      </c>
      <c r="S292" s="20" t="str">
        <f t="shared" si="12"/>
        <v/>
      </c>
      <c r="T292" s="20" t="s">
        <v>275</v>
      </c>
      <c r="U292" s="20" t="s">
        <v>285</v>
      </c>
    </row>
    <row r="293" spans="1:21">
      <c r="A293" s="9" t="s">
        <v>295</v>
      </c>
      <c r="B293" s="9" t="s">
        <v>296</v>
      </c>
      <c r="C293" s="16">
        <f t="shared" si="13"/>
        <v>0</v>
      </c>
      <c r="D293" s="16">
        <f>IFERROR(TRIM(LEFT(발주발송관리!T293,FIND(" ",발주발송관리!T293)-1)),0)</f>
        <v>0</v>
      </c>
      <c r="E293" s="16">
        <f>IFERROR(MID(발주발송관리!T293,FIND(" ",발주발송관리!T293)+1,LEN(발주발송관리!T293)-FIND(" ",발주발송관리!T293)+1),0)</f>
        <v>0</v>
      </c>
      <c r="F293" s="16">
        <f>발주발송관리!W293</f>
        <v>0</v>
      </c>
      <c r="G293" s="11">
        <f>발주발송관리!Y293</f>
        <v>0</v>
      </c>
      <c r="H293" s="17">
        <f>발주발송관리!Z293/1.6</f>
        <v>0</v>
      </c>
      <c r="I293" s="10"/>
      <c r="J293" s="10"/>
      <c r="K293" s="11"/>
      <c r="L293" s="11"/>
      <c r="M293" s="16">
        <f>IF(발주발송관리!M293=R293,0,발주발송관리!M293&amp;T293&amp;S293&amp;U293)</f>
        <v>0</v>
      </c>
      <c r="N293" s="16">
        <f>발주발송관리!AZ293</f>
        <v>0</v>
      </c>
      <c r="O293" s="16">
        <f>발주발송관리!AW293</f>
        <v>0</v>
      </c>
      <c r="P293" s="18"/>
      <c r="Q293" s="18">
        <f>발주발송관리!BB293</f>
        <v>0</v>
      </c>
      <c r="S293" s="20" t="str">
        <f t="shared" si="12"/>
        <v/>
      </c>
      <c r="T293" s="20" t="s">
        <v>275</v>
      </c>
      <c r="U293" s="20" t="s">
        <v>285</v>
      </c>
    </row>
    <row r="294" spans="1:21">
      <c r="A294" s="9" t="s">
        <v>295</v>
      </c>
      <c r="B294" s="9" t="s">
        <v>296</v>
      </c>
      <c r="C294" s="16">
        <f t="shared" si="13"/>
        <v>0</v>
      </c>
      <c r="D294" s="16">
        <f>IFERROR(TRIM(LEFT(발주발송관리!T294,FIND(" ",발주발송관리!T294)-1)),0)</f>
        <v>0</v>
      </c>
      <c r="E294" s="16">
        <f>IFERROR(MID(발주발송관리!T294,FIND(" ",발주발송관리!T294)+1,LEN(발주발송관리!T294)-FIND(" ",발주발송관리!T294)+1),0)</f>
        <v>0</v>
      </c>
      <c r="F294" s="16">
        <f>발주발송관리!W294</f>
        <v>0</v>
      </c>
      <c r="G294" s="11">
        <f>발주발송관리!Y294</f>
        <v>0</v>
      </c>
      <c r="H294" s="17">
        <f>발주발송관리!Z294/1.6</f>
        <v>0</v>
      </c>
      <c r="I294" s="10"/>
      <c r="J294" s="10"/>
      <c r="K294" s="11"/>
      <c r="L294" s="11"/>
      <c r="M294" s="16">
        <f>IF(발주발송관리!M294=R294,0,발주발송관리!M294&amp;T294&amp;S294&amp;U294)</f>
        <v>0</v>
      </c>
      <c r="N294" s="16">
        <f>발주발송관리!AZ294</f>
        <v>0</v>
      </c>
      <c r="O294" s="16">
        <f>발주발송관리!AW294</f>
        <v>0</v>
      </c>
      <c r="P294" s="18"/>
      <c r="Q294" s="18">
        <f>발주발송관리!BB294</f>
        <v>0</v>
      </c>
      <c r="S294" s="20" t="str">
        <f t="shared" si="12"/>
        <v/>
      </c>
      <c r="T294" s="20" t="s">
        <v>275</v>
      </c>
      <c r="U294" s="20" t="s">
        <v>285</v>
      </c>
    </row>
    <row r="295" spans="1:21">
      <c r="A295" s="9" t="s">
        <v>295</v>
      </c>
      <c r="B295" s="9" t="s">
        <v>296</v>
      </c>
      <c r="C295" s="16">
        <f t="shared" si="13"/>
        <v>0</v>
      </c>
      <c r="D295" s="16">
        <f>IFERROR(TRIM(LEFT(발주발송관리!T295,FIND(" ",발주발송관리!T295)-1)),0)</f>
        <v>0</v>
      </c>
      <c r="E295" s="16">
        <f>IFERROR(MID(발주발송관리!T295,FIND(" ",발주발송관리!T295)+1,LEN(발주발송관리!T295)-FIND(" ",발주발송관리!T295)+1),0)</f>
        <v>0</v>
      </c>
      <c r="F295" s="16">
        <f>발주발송관리!W295</f>
        <v>0</v>
      </c>
      <c r="G295" s="11">
        <f>발주발송관리!Y295</f>
        <v>0</v>
      </c>
      <c r="H295" s="17">
        <f>발주발송관리!Z295/1.6</f>
        <v>0</v>
      </c>
      <c r="I295" s="10"/>
      <c r="J295" s="10"/>
      <c r="K295" s="11"/>
      <c r="L295" s="11"/>
      <c r="M295" s="16">
        <f>IF(발주발송관리!M295=R295,0,발주발송관리!M295&amp;T295&amp;S295&amp;U295)</f>
        <v>0</v>
      </c>
      <c r="N295" s="16">
        <f>발주발송관리!AZ295</f>
        <v>0</v>
      </c>
      <c r="O295" s="16">
        <f>발주발송관리!AW295</f>
        <v>0</v>
      </c>
      <c r="P295" s="18"/>
      <c r="Q295" s="18">
        <f>발주발송관리!BB295</f>
        <v>0</v>
      </c>
      <c r="S295" s="20" t="str">
        <f t="shared" si="12"/>
        <v/>
      </c>
      <c r="T295" s="20" t="s">
        <v>275</v>
      </c>
      <c r="U295" s="20" t="s">
        <v>285</v>
      </c>
    </row>
    <row r="296" spans="1:21">
      <c r="A296" s="9" t="s">
        <v>295</v>
      </c>
      <c r="B296" s="9" t="s">
        <v>296</v>
      </c>
      <c r="C296" s="16">
        <f t="shared" si="13"/>
        <v>0</v>
      </c>
      <c r="D296" s="16">
        <f>IFERROR(TRIM(LEFT(발주발송관리!T296,FIND(" ",발주발송관리!T296)-1)),0)</f>
        <v>0</v>
      </c>
      <c r="E296" s="16">
        <f>IFERROR(MID(발주발송관리!T296,FIND(" ",발주발송관리!T296)+1,LEN(발주발송관리!T296)-FIND(" ",발주발송관리!T296)+1),0)</f>
        <v>0</v>
      </c>
      <c r="F296" s="16">
        <f>발주발송관리!W296</f>
        <v>0</v>
      </c>
      <c r="G296" s="11">
        <f>발주발송관리!Y296</f>
        <v>0</v>
      </c>
      <c r="H296" s="17">
        <f>발주발송관리!Z296/1.6</f>
        <v>0</v>
      </c>
      <c r="I296" s="10"/>
      <c r="J296" s="10"/>
      <c r="K296" s="11"/>
      <c r="L296" s="11"/>
      <c r="M296" s="16">
        <f>IF(발주발송관리!M296=R296,0,발주발송관리!M296&amp;T296&amp;S296&amp;U296)</f>
        <v>0</v>
      </c>
      <c r="N296" s="16">
        <f>발주발송관리!AZ296</f>
        <v>0</v>
      </c>
      <c r="O296" s="16">
        <f>발주발송관리!AW296</f>
        <v>0</v>
      </c>
      <c r="P296" s="18"/>
      <c r="Q296" s="18">
        <f>발주발송관리!BB296</f>
        <v>0</v>
      </c>
      <c r="S296" s="20" t="str">
        <f t="shared" si="12"/>
        <v/>
      </c>
      <c r="T296" s="20" t="s">
        <v>275</v>
      </c>
      <c r="U296" s="20" t="s">
        <v>285</v>
      </c>
    </row>
    <row r="297" spans="1:21">
      <c r="A297" s="9" t="s">
        <v>295</v>
      </c>
      <c r="B297" s="9" t="s">
        <v>296</v>
      </c>
      <c r="C297" s="16">
        <f t="shared" si="13"/>
        <v>0</v>
      </c>
      <c r="D297" s="16">
        <f>IFERROR(TRIM(LEFT(발주발송관리!T297,FIND(" ",발주발송관리!T297)-1)),0)</f>
        <v>0</v>
      </c>
      <c r="E297" s="16">
        <f>IFERROR(MID(발주발송관리!T297,FIND(" ",발주발송관리!T297)+1,LEN(발주발송관리!T297)-FIND(" ",발주발송관리!T297)+1),0)</f>
        <v>0</v>
      </c>
      <c r="F297" s="16">
        <f>발주발송관리!W297</f>
        <v>0</v>
      </c>
      <c r="G297" s="11">
        <f>발주발송관리!Y297</f>
        <v>0</v>
      </c>
      <c r="H297" s="17">
        <f>발주발송관리!Z297/1.6</f>
        <v>0</v>
      </c>
      <c r="I297" s="10"/>
      <c r="J297" s="10"/>
      <c r="K297" s="11"/>
      <c r="L297" s="11"/>
      <c r="M297" s="16">
        <f>IF(발주발송관리!M297=R297,0,발주발송관리!M297&amp;T297&amp;S297&amp;U297)</f>
        <v>0</v>
      </c>
      <c r="N297" s="16">
        <f>발주발송관리!AZ297</f>
        <v>0</v>
      </c>
      <c r="O297" s="16">
        <f>발주발송관리!AW297</f>
        <v>0</v>
      </c>
      <c r="P297" s="18"/>
      <c r="Q297" s="18">
        <f>발주발송관리!BB297</f>
        <v>0</v>
      </c>
      <c r="S297" s="20" t="str">
        <f t="shared" si="12"/>
        <v/>
      </c>
      <c r="T297" s="20" t="s">
        <v>275</v>
      </c>
      <c r="U297" s="20" t="s">
        <v>285</v>
      </c>
    </row>
    <row r="298" spans="1:21">
      <c r="A298" s="9" t="s">
        <v>295</v>
      </c>
      <c r="B298" s="9" t="s">
        <v>296</v>
      </c>
      <c r="C298" s="16">
        <f t="shared" si="13"/>
        <v>0</v>
      </c>
      <c r="D298" s="16">
        <f>IFERROR(TRIM(LEFT(발주발송관리!T298,FIND(" ",발주발송관리!T298)-1)),0)</f>
        <v>0</v>
      </c>
      <c r="E298" s="16">
        <f>IFERROR(MID(발주발송관리!T298,FIND(" ",발주발송관리!T298)+1,LEN(발주발송관리!T298)-FIND(" ",발주발송관리!T298)+1),0)</f>
        <v>0</v>
      </c>
      <c r="F298" s="16">
        <f>발주발송관리!W298</f>
        <v>0</v>
      </c>
      <c r="G298" s="11">
        <f>발주발송관리!Y298</f>
        <v>0</v>
      </c>
      <c r="H298" s="17">
        <f>발주발송관리!Z298/1.6</f>
        <v>0</v>
      </c>
      <c r="I298" s="10"/>
      <c r="J298" s="10"/>
      <c r="K298" s="11"/>
      <c r="L298" s="11"/>
      <c r="M298" s="16">
        <f>IF(발주발송관리!M298=R298,0,발주발송관리!M298&amp;T298&amp;S298&amp;U298)</f>
        <v>0</v>
      </c>
      <c r="N298" s="16">
        <f>발주발송관리!AZ298</f>
        <v>0</v>
      </c>
      <c r="O298" s="16">
        <f>발주발송관리!AW298</f>
        <v>0</v>
      </c>
      <c r="P298" s="18"/>
      <c r="Q298" s="18">
        <f>발주발송관리!BB298</f>
        <v>0</v>
      </c>
      <c r="S298" s="20" t="str">
        <f t="shared" si="12"/>
        <v/>
      </c>
      <c r="T298" s="20" t="s">
        <v>275</v>
      </c>
      <c r="U298" s="20" t="s">
        <v>285</v>
      </c>
    </row>
    <row r="299" spans="1:21">
      <c r="A299" s="9" t="s">
        <v>295</v>
      </c>
      <c r="B299" s="9" t="s">
        <v>296</v>
      </c>
      <c r="C299" s="16">
        <f t="shared" si="13"/>
        <v>0</v>
      </c>
      <c r="D299" s="16">
        <f>IFERROR(TRIM(LEFT(발주발송관리!T299,FIND(" ",발주발송관리!T299)-1)),0)</f>
        <v>0</v>
      </c>
      <c r="E299" s="16">
        <f>IFERROR(MID(발주발송관리!T299,FIND(" ",발주발송관리!T299)+1,LEN(발주발송관리!T299)-FIND(" ",발주발송관리!T299)+1),0)</f>
        <v>0</v>
      </c>
      <c r="F299" s="16">
        <f>발주발송관리!W299</f>
        <v>0</v>
      </c>
      <c r="G299" s="11">
        <f>발주발송관리!Y299</f>
        <v>0</v>
      </c>
      <c r="H299" s="17">
        <f>발주발송관리!Z299/1.6</f>
        <v>0</v>
      </c>
      <c r="I299" s="10"/>
      <c r="J299" s="10"/>
      <c r="K299" s="11"/>
      <c r="L299" s="11"/>
      <c r="M299" s="16">
        <f>IF(발주발송관리!M299=R299,0,발주발송관리!M299&amp;T299&amp;S299&amp;U299)</f>
        <v>0</v>
      </c>
      <c r="N299" s="16">
        <f>발주발송관리!AZ299</f>
        <v>0</v>
      </c>
      <c r="O299" s="16">
        <f>발주발송관리!AW299</f>
        <v>0</v>
      </c>
      <c r="P299" s="18"/>
      <c r="Q299" s="18">
        <f>발주발송관리!BB299</f>
        <v>0</v>
      </c>
      <c r="S299" s="20" t="str">
        <f t="shared" si="12"/>
        <v/>
      </c>
      <c r="T299" s="20" t="s">
        <v>275</v>
      </c>
      <c r="U299" s="20" t="s">
        <v>285</v>
      </c>
    </row>
    <row r="300" spans="1:21">
      <c r="A300" s="9" t="s">
        <v>295</v>
      </c>
      <c r="B300" s="9" t="s">
        <v>296</v>
      </c>
      <c r="C300" s="16">
        <f t="shared" si="13"/>
        <v>0</v>
      </c>
      <c r="D300" s="16">
        <f>IFERROR(TRIM(LEFT(발주발송관리!T300,FIND(" ",발주발송관리!T300)-1)),0)</f>
        <v>0</v>
      </c>
      <c r="E300" s="16">
        <f>IFERROR(MID(발주발송관리!T300,FIND(" ",발주발송관리!T300)+1,LEN(발주발송관리!T300)-FIND(" ",발주발송관리!T300)+1),0)</f>
        <v>0</v>
      </c>
      <c r="F300" s="16">
        <f>발주발송관리!W300</f>
        <v>0</v>
      </c>
      <c r="G300" s="11">
        <f>발주발송관리!Y300</f>
        <v>0</v>
      </c>
      <c r="H300" s="17">
        <f>발주발송관리!Z300/1.6</f>
        <v>0</v>
      </c>
      <c r="I300" s="10"/>
      <c r="J300" s="10"/>
      <c r="K300" s="11"/>
      <c r="L300" s="11"/>
      <c r="M300" s="16">
        <f>IF(발주발송관리!M300=R300,0,발주발송관리!M300&amp;T300&amp;S300&amp;U300)</f>
        <v>0</v>
      </c>
      <c r="N300" s="16">
        <f>발주발송관리!AZ300</f>
        <v>0</v>
      </c>
      <c r="O300" s="16">
        <f>발주발송관리!AW300</f>
        <v>0</v>
      </c>
      <c r="P300" s="18"/>
      <c r="Q300" s="18">
        <f>발주발송관리!BB300</f>
        <v>0</v>
      </c>
      <c r="S300" s="20" t="str">
        <f t="shared" si="12"/>
        <v/>
      </c>
      <c r="T300" s="20" t="s">
        <v>275</v>
      </c>
      <c r="U300" s="20" t="s">
        <v>285</v>
      </c>
    </row>
    <row r="301" spans="1:21">
      <c r="A301" s="9" t="s">
        <v>295</v>
      </c>
      <c r="B301" s="9" t="s">
        <v>296</v>
      </c>
      <c r="C301" s="16">
        <f t="shared" si="13"/>
        <v>0</v>
      </c>
      <c r="D301" s="16">
        <f>IFERROR(TRIM(LEFT(발주발송관리!T301,FIND(" ",발주발송관리!T301)-1)),0)</f>
        <v>0</v>
      </c>
      <c r="E301" s="16">
        <f>IFERROR(MID(발주발송관리!T301,FIND(" ",발주발송관리!T301)+1,LEN(발주발송관리!T301)-FIND(" ",발주발송관리!T301)+1),0)</f>
        <v>0</v>
      </c>
      <c r="F301" s="16">
        <f>발주발송관리!W301</f>
        <v>0</v>
      </c>
      <c r="G301" s="11">
        <f>발주발송관리!Y301</f>
        <v>0</v>
      </c>
      <c r="H301" s="17">
        <f>발주발송관리!Z301/1.6</f>
        <v>0</v>
      </c>
      <c r="I301" s="10"/>
      <c r="J301" s="10"/>
      <c r="K301" s="11"/>
      <c r="L301" s="11"/>
      <c r="M301" s="16">
        <f>IF(발주발송관리!M301=R301,0,발주발송관리!M301&amp;T301&amp;S301&amp;U301)</f>
        <v>0</v>
      </c>
      <c r="N301" s="16">
        <f>발주발송관리!AZ301</f>
        <v>0</v>
      </c>
      <c r="O301" s="16">
        <f>발주발송관리!AW301</f>
        <v>0</v>
      </c>
      <c r="P301" s="18"/>
      <c r="Q301" s="18">
        <f>발주발송관리!BB301</f>
        <v>0</v>
      </c>
      <c r="S301" s="20" t="str">
        <f t="shared" si="12"/>
        <v/>
      </c>
      <c r="T301" s="20" t="s">
        <v>275</v>
      </c>
      <c r="U301" s="20" t="s">
        <v>285</v>
      </c>
    </row>
    <row r="302" spans="1:21">
      <c r="A302" s="9" t="s">
        <v>295</v>
      </c>
      <c r="B302" s="9" t="s">
        <v>296</v>
      </c>
      <c r="C302" s="16">
        <f t="shared" si="13"/>
        <v>0</v>
      </c>
      <c r="D302" s="16">
        <f>IFERROR(TRIM(LEFT(발주발송관리!T302,FIND(" ",발주발송관리!T302)-1)),0)</f>
        <v>0</v>
      </c>
      <c r="E302" s="16">
        <f>IFERROR(MID(발주발송관리!T302,FIND(" ",발주발송관리!T302)+1,LEN(발주발송관리!T302)-FIND(" ",발주발송관리!T302)+1),0)</f>
        <v>0</v>
      </c>
      <c r="F302" s="16">
        <f>발주발송관리!W302</f>
        <v>0</v>
      </c>
      <c r="G302" s="11">
        <f>발주발송관리!Y302</f>
        <v>0</v>
      </c>
      <c r="H302" s="17">
        <f>발주발송관리!Z302/1.6</f>
        <v>0</v>
      </c>
      <c r="I302" s="10"/>
      <c r="J302" s="10"/>
      <c r="K302" s="11"/>
      <c r="L302" s="11"/>
      <c r="M302" s="16">
        <f>IF(발주발송관리!M302=R302,0,발주발송관리!M302&amp;T302&amp;S302&amp;U302)</f>
        <v>0</v>
      </c>
      <c r="N302" s="16">
        <f>발주발송관리!AZ302</f>
        <v>0</v>
      </c>
      <c r="O302" s="16">
        <f>발주발송관리!AW302</f>
        <v>0</v>
      </c>
      <c r="P302" s="18"/>
      <c r="Q302" s="18">
        <f>발주발송관리!BB302</f>
        <v>0</v>
      </c>
      <c r="S302" s="20" t="str">
        <f t="shared" si="12"/>
        <v/>
      </c>
      <c r="T302" s="20" t="s">
        <v>275</v>
      </c>
      <c r="U302" s="20" t="s">
        <v>285</v>
      </c>
    </row>
    <row r="303" spans="1:21">
      <c r="A303" s="9" t="s">
        <v>295</v>
      </c>
      <c r="B303" s="9" t="s">
        <v>296</v>
      </c>
      <c r="C303" s="16">
        <f t="shared" si="13"/>
        <v>0</v>
      </c>
      <c r="D303" s="16">
        <f>IFERROR(TRIM(LEFT(발주발송관리!T303,FIND(" ",발주발송관리!T303)-1)),0)</f>
        <v>0</v>
      </c>
      <c r="E303" s="16">
        <f>IFERROR(MID(발주발송관리!T303,FIND(" ",발주발송관리!T303)+1,LEN(발주발송관리!T303)-FIND(" ",발주발송관리!T303)+1),0)</f>
        <v>0</v>
      </c>
      <c r="F303" s="16">
        <f>발주발송관리!W303</f>
        <v>0</v>
      </c>
      <c r="G303" s="11">
        <f>발주발송관리!Y303</f>
        <v>0</v>
      </c>
      <c r="H303" s="17">
        <f>발주발송관리!Z303/1.6</f>
        <v>0</v>
      </c>
      <c r="I303" s="10"/>
      <c r="J303" s="10"/>
      <c r="K303" s="11"/>
      <c r="L303" s="11"/>
      <c r="M303" s="16">
        <f>IF(발주발송관리!M303=R303,0,발주발송관리!M303&amp;T303&amp;S303&amp;U303)</f>
        <v>0</v>
      </c>
      <c r="N303" s="16">
        <f>발주발송관리!AZ303</f>
        <v>0</v>
      </c>
      <c r="O303" s="16">
        <f>발주발송관리!AW303</f>
        <v>0</v>
      </c>
      <c r="P303" s="18"/>
      <c r="Q303" s="18">
        <f>발주발송관리!BB303</f>
        <v>0</v>
      </c>
      <c r="S303" s="20" t="str">
        <f t="shared" si="12"/>
        <v/>
      </c>
      <c r="T303" s="20" t="s">
        <v>275</v>
      </c>
      <c r="U303" s="20" t="s">
        <v>285</v>
      </c>
    </row>
    <row r="304" spans="1:21">
      <c r="A304" s="9" t="s">
        <v>295</v>
      </c>
      <c r="B304" s="9" t="s">
        <v>296</v>
      </c>
      <c r="C304" s="16">
        <f t="shared" si="13"/>
        <v>0</v>
      </c>
      <c r="D304" s="16">
        <f>IFERROR(TRIM(LEFT(발주발송관리!T304,FIND(" ",발주발송관리!T304)-1)),0)</f>
        <v>0</v>
      </c>
      <c r="E304" s="16">
        <f>IFERROR(MID(발주발송관리!T304,FIND(" ",발주발송관리!T304)+1,LEN(발주발송관리!T304)-FIND(" ",발주발송관리!T304)+1),0)</f>
        <v>0</v>
      </c>
      <c r="F304" s="16">
        <f>발주발송관리!W304</f>
        <v>0</v>
      </c>
      <c r="G304" s="11">
        <f>발주발송관리!Y304</f>
        <v>0</v>
      </c>
      <c r="H304" s="17">
        <f>발주발송관리!Z304/1.6</f>
        <v>0</v>
      </c>
      <c r="I304" s="10"/>
      <c r="J304" s="10"/>
      <c r="K304" s="11"/>
      <c r="L304" s="11"/>
      <c r="M304" s="16">
        <f>IF(발주발송관리!M304=R304,0,발주발송관리!M304&amp;T304&amp;S304&amp;U304)</f>
        <v>0</v>
      </c>
      <c r="N304" s="16">
        <f>발주발송관리!AZ304</f>
        <v>0</v>
      </c>
      <c r="O304" s="16">
        <f>발주발송관리!AW304</f>
        <v>0</v>
      </c>
      <c r="P304" s="18"/>
      <c r="Q304" s="18">
        <f>발주발송관리!BB304</f>
        <v>0</v>
      </c>
      <c r="S304" s="20" t="str">
        <f t="shared" si="12"/>
        <v/>
      </c>
      <c r="T304" s="20" t="s">
        <v>275</v>
      </c>
      <c r="U304" s="20" t="s">
        <v>285</v>
      </c>
    </row>
    <row r="305" spans="1:21">
      <c r="A305" s="9" t="s">
        <v>295</v>
      </c>
      <c r="B305" s="9" t="s">
        <v>296</v>
      </c>
      <c r="C305" s="16">
        <f t="shared" si="13"/>
        <v>0</v>
      </c>
      <c r="D305" s="16">
        <f>IFERROR(TRIM(LEFT(발주발송관리!T305,FIND(" ",발주발송관리!T305)-1)),0)</f>
        <v>0</v>
      </c>
      <c r="E305" s="16">
        <f>IFERROR(MID(발주발송관리!T305,FIND(" ",발주발송관리!T305)+1,LEN(발주발송관리!T305)-FIND(" ",발주발송관리!T305)+1),0)</f>
        <v>0</v>
      </c>
      <c r="F305" s="16">
        <f>발주발송관리!W305</f>
        <v>0</v>
      </c>
      <c r="G305" s="11">
        <f>발주발송관리!Y305</f>
        <v>0</v>
      </c>
      <c r="H305" s="17">
        <f>발주발송관리!Z305/1.6</f>
        <v>0</v>
      </c>
      <c r="I305" s="10"/>
      <c r="J305" s="10"/>
      <c r="K305" s="11"/>
      <c r="L305" s="11"/>
      <c r="M305" s="16">
        <f>IF(발주발송관리!M305=R305,0,발주발송관리!M305&amp;T305&amp;S305&amp;U305)</f>
        <v>0</v>
      </c>
      <c r="N305" s="16">
        <f>발주발송관리!AZ305</f>
        <v>0</v>
      </c>
      <c r="O305" s="16">
        <f>발주발송관리!AW305</f>
        <v>0</v>
      </c>
      <c r="P305" s="18"/>
      <c r="Q305" s="18">
        <f>발주발송관리!BB305</f>
        <v>0</v>
      </c>
      <c r="S305" s="20" t="str">
        <f t="shared" si="12"/>
        <v/>
      </c>
      <c r="T305" s="20" t="s">
        <v>275</v>
      </c>
      <c r="U305" s="20" t="s">
        <v>285</v>
      </c>
    </row>
    <row r="306" spans="1:21">
      <c r="A306" s="9" t="s">
        <v>295</v>
      </c>
      <c r="B306" s="9" t="s">
        <v>296</v>
      </c>
      <c r="C306" s="16">
        <f t="shared" si="13"/>
        <v>0</v>
      </c>
      <c r="D306" s="16">
        <f>IFERROR(TRIM(LEFT(발주발송관리!T306,FIND(" ",발주발송관리!T306)-1)),0)</f>
        <v>0</v>
      </c>
      <c r="E306" s="16">
        <f>IFERROR(MID(발주발송관리!T306,FIND(" ",발주발송관리!T306)+1,LEN(발주발송관리!T306)-FIND(" ",발주발송관리!T306)+1),0)</f>
        <v>0</v>
      </c>
      <c r="F306" s="16">
        <f>발주발송관리!W306</f>
        <v>0</v>
      </c>
      <c r="G306" s="11">
        <f>발주발송관리!Y306</f>
        <v>0</v>
      </c>
      <c r="H306" s="17">
        <f>발주발송관리!Z306/1.6</f>
        <v>0</v>
      </c>
      <c r="I306" s="10"/>
      <c r="J306" s="10"/>
      <c r="K306" s="11"/>
      <c r="L306" s="11"/>
      <c r="M306" s="16">
        <f>IF(발주발송관리!M306=R306,0,발주발송관리!M306&amp;T306&amp;S306&amp;U306)</f>
        <v>0</v>
      </c>
      <c r="N306" s="16">
        <f>발주발송관리!AZ306</f>
        <v>0</v>
      </c>
      <c r="O306" s="16">
        <f>발주발송관리!AW306</f>
        <v>0</v>
      </c>
      <c r="P306" s="18"/>
      <c r="Q306" s="18">
        <f>발주발송관리!BB306</f>
        <v>0</v>
      </c>
      <c r="S306" s="20" t="str">
        <f t="shared" si="12"/>
        <v/>
      </c>
      <c r="T306" s="20" t="s">
        <v>275</v>
      </c>
      <c r="U306" s="20" t="s">
        <v>285</v>
      </c>
    </row>
    <row r="307" spans="1:21">
      <c r="A307" s="9" t="s">
        <v>295</v>
      </c>
      <c r="B307" s="9" t="s">
        <v>296</v>
      </c>
      <c r="C307" s="16">
        <f t="shared" si="13"/>
        <v>0</v>
      </c>
      <c r="D307" s="16">
        <f>IFERROR(TRIM(LEFT(발주발송관리!T307,FIND(" ",발주발송관리!T307)-1)),0)</f>
        <v>0</v>
      </c>
      <c r="E307" s="16">
        <f>IFERROR(MID(발주발송관리!T307,FIND(" ",발주발송관리!T307)+1,LEN(발주발송관리!T307)-FIND(" ",발주발송관리!T307)+1),0)</f>
        <v>0</v>
      </c>
      <c r="F307" s="16">
        <f>발주발송관리!W307</f>
        <v>0</v>
      </c>
      <c r="G307" s="11">
        <f>발주발송관리!Y307</f>
        <v>0</v>
      </c>
      <c r="H307" s="17">
        <f>발주발송관리!Z307/1.6</f>
        <v>0</v>
      </c>
      <c r="I307" s="10"/>
      <c r="J307" s="10"/>
      <c r="K307" s="11"/>
      <c r="L307" s="11"/>
      <c r="M307" s="16">
        <f>IF(발주발송관리!M307=R307,0,발주발송관리!M307&amp;T307&amp;S307&amp;U307)</f>
        <v>0</v>
      </c>
      <c r="N307" s="16">
        <f>발주발송관리!AZ307</f>
        <v>0</v>
      </c>
      <c r="O307" s="16">
        <f>발주발송관리!AW307</f>
        <v>0</v>
      </c>
      <c r="P307" s="18"/>
      <c r="Q307" s="18">
        <f>발주발송관리!BB307</f>
        <v>0</v>
      </c>
      <c r="S307" s="20" t="str">
        <f t="shared" si="12"/>
        <v/>
      </c>
      <c r="T307" s="20" t="s">
        <v>275</v>
      </c>
      <c r="U307" s="20" t="s">
        <v>285</v>
      </c>
    </row>
    <row r="308" spans="1:21">
      <c r="A308" s="9" t="s">
        <v>295</v>
      </c>
      <c r="B308" s="9" t="s">
        <v>296</v>
      </c>
      <c r="C308" s="16">
        <f t="shared" si="13"/>
        <v>0</v>
      </c>
      <c r="D308" s="16">
        <f>IFERROR(TRIM(LEFT(발주발송관리!T308,FIND(" ",발주발송관리!T308)-1)),0)</f>
        <v>0</v>
      </c>
      <c r="E308" s="16">
        <f>IFERROR(MID(발주발송관리!T308,FIND(" ",발주발송관리!T308)+1,LEN(발주발송관리!T308)-FIND(" ",발주발송관리!T308)+1),0)</f>
        <v>0</v>
      </c>
      <c r="F308" s="16">
        <f>발주발송관리!W308</f>
        <v>0</v>
      </c>
      <c r="G308" s="11">
        <f>발주발송관리!Y308</f>
        <v>0</v>
      </c>
      <c r="H308" s="17">
        <f>발주발송관리!Z308/1.6</f>
        <v>0</v>
      </c>
      <c r="I308" s="10"/>
      <c r="J308" s="10"/>
      <c r="K308" s="11"/>
      <c r="L308" s="11"/>
      <c r="M308" s="16">
        <f>IF(발주발송관리!M308=R308,0,발주발송관리!M308&amp;T308&amp;S308&amp;U308)</f>
        <v>0</v>
      </c>
      <c r="N308" s="16">
        <f>발주발송관리!AZ308</f>
        <v>0</v>
      </c>
      <c r="O308" s="16">
        <f>발주발송관리!AW308</f>
        <v>0</v>
      </c>
      <c r="P308" s="18"/>
      <c r="Q308" s="18">
        <f>발주발송관리!BB308</f>
        <v>0</v>
      </c>
      <c r="S308" s="20" t="str">
        <f t="shared" si="12"/>
        <v/>
      </c>
      <c r="T308" s="20" t="s">
        <v>275</v>
      </c>
      <c r="U308" s="20" t="s">
        <v>285</v>
      </c>
    </row>
    <row r="309" spans="1:21">
      <c r="A309" s="9" t="s">
        <v>295</v>
      </c>
      <c r="B309" s="9" t="s">
        <v>296</v>
      </c>
      <c r="C309" s="16">
        <f t="shared" si="13"/>
        <v>0</v>
      </c>
      <c r="D309" s="16">
        <f>IFERROR(TRIM(LEFT(발주발송관리!T309,FIND(" ",발주발송관리!T309)-1)),0)</f>
        <v>0</v>
      </c>
      <c r="E309" s="16">
        <f>IFERROR(MID(발주발송관리!T309,FIND(" ",발주발송관리!T309)+1,LEN(발주발송관리!T309)-FIND(" ",발주발송관리!T309)+1),0)</f>
        <v>0</v>
      </c>
      <c r="F309" s="16">
        <f>발주발송관리!W309</f>
        <v>0</v>
      </c>
      <c r="G309" s="11">
        <f>발주발송관리!Y309</f>
        <v>0</v>
      </c>
      <c r="H309" s="17">
        <f>발주발송관리!Z309/1.6</f>
        <v>0</v>
      </c>
      <c r="I309" s="10"/>
      <c r="J309" s="10"/>
      <c r="K309" s="11"/>
      <c r="L309" s="11"/>
      <c r="M309" s="16">
        <f>IF(발주발송관리!M309=R309,0,발주발송관리!M309&amp;T309&amp;S309&amp;U309)</f>
        <v>0</v>
      </c>
      <c r="N309" s="16">
        <f>발주발송관리!AZ309</f>
        <v>0</v>
      </c>
      <c r="O309" s="16">
        <f>발주발송관리!AW309</f>
        <v>0</v>
      </c>
      <c r="P309" s="18"/>
      <c r="Q309" s="18">
        <f>발주발송관리!BB309</f>
        <v>0</v>
      </c>
      <c r="S309" s="20" t="str">
        <f t="shared" si="12"/>
        <v/>
      </c>
      <c r="T309" s="20" t="s">
        <v>275</v>
      </c>
      <c r="U309" s="20" t="s">
        <v>285</v>
      </c>
    </row>
    <row r="310" spans="1:21">
      <c r="A310" s="9" t="s">
        <v>295</v>
      </c>
      <c r="B310" s="9" t="s">
        <v>296</v>
      </c>
      <c r="C310" s="16">
        <f t="shared" si="13"/>
        <v>0</v>
      </c>
      <c r="D310" s="16">
        <f>IFERROR(TRIM(LEFT(발주발송관리!T310,FIND(" ",발주발송관리!T310)-1)),0)</f>
        <v>0</v>
      </c>
      <c r="E310" s="16">
        <f>IFERROR(MID(발주발송관리!T310,FIND(" ",발주발송관리!T310)+1,LEN(발주발송관리!T310)-FIND(" ",발주발송관리!T310)+1),0)</f>
        <v>0</v>
      </c>
      <c r="F310" s="16">
        <f>발주발송관리!W310</f>
        <v>0</v>
      </c>
      <c r="G310" s="11">
        <f>발주발송관리!Y310</f>
        <v>0</v>
      </c>
      <c r="H310" s="17">
        <f>발주발송관리!Z310/1.6</f>
        <v>0</v>
      </c>
      <c r="I310" s="10"/>
      <c r="J310" s="10"/>
      <c r="K310" s="11"/>
      <c r="L310" s="11"/>
      <c r="M310" s="16">
        <f>IF(발주발송관리!M310=R310,0,발주발송관리!M310&amp;T310&amp;S310&amp;U310)</f>
        <v>0</v>
      </c>
      <c r="N310" s="16">
        <f>발주발송관리!AZ310</f>
        <v>0</v>
      </c>
      <c r="O310" s="16">
        <f>발주발송관리!AW310</f>
        <v>0</v>
      </c>
      <c r="P310" s="18"/>
      <c r="Q310" s="18">
        <f>발주발송관리!BB310</f>
        <v>0</v>
      </c>
      <c r="S310" s="20" t="str">
        <f t="shared" si="12"/>
        <v/>
      </c>
      <c r="T310" s="20" t="s">
        <v>275</v>
      </c>
      <c r="U310" s="20" t="s">
        <v>285</v>
      </c>
    </row>
    <row r="311" spans="1:21">
      <c r="A311" s="9" t="s">
        <v>295</v>
      </c>
      <c r="B311" s="9" t="s">
        <v>296</v>
      </c>
      <c r="C311" s="16">
        <f t="shared" si="13"/>
        <v>0</v>
      </c>
      <c r="D311" s="16">
        <f>IFERROR(TRIM(LEFT(발주발송관리!T311,FIND(" ",발주발송관리!T311)-1)),0)</f>
        <v>0</v>
      </c>
      <c r="E311" s="16">
        <f>IFERROR(MID(발주발송관리!T311,FIND(" ",발주발송관리!T311)+1,LEN(발주발송관리!T311)-FIND(" ",발주발송관리!T311)+1),0)</f>
        <v>0</v>
      </c>
      <c r="F311" s="16">
        <f>발주발송관리!W311</f>
        <v>0</v>
      </c>
      <c r="G311" s="11">
        <f>발주발송관리!Y311</f>
        <v>0</v>
      </c>
      <c r="H311" s="17">
        <f>발주발송관리!Z311/1.6</f>
        <v>0</v>
      </c>
      <c r="I311" s="10"/>
      <c r="J311" s="10"/>
      <c r="K311" s="11"/>
      <c r="L311" s="11"/>
      <c r="M311" s="16">
        <f>IF(발주발송관리!M311=R311,0,발주발송관리!M311&amp;T311&amp;S311&amp;U311)</f>
        <v>0</v>
      </c>
      <c r="N311" s="16">
        <f>발주발송관리!AZ311</f>
        <v>0</v>
      </c>
      <c r="O311" s="16">
        <f>발주발송관리!AW311</f>
        <v>0</v>
      </c>
      <c r="P311" s="18"/>
      <c r="Q311" s="18">
        <f>발주발송관리!BB311</f>
        <v>0</v>
      </c>
      <c r="S311" s="20" t="str">
        <f t="shared" si="12"/>
        <v/>
      </c>
      <c r="T311" s="20" t="s">
        <v>275</v>
      </c>
      <c r="U311" s="20" t="s">
        <v>285</v>
      </c>
    </row>
    <row r="312" spans="1:21">
      <c r="A312" s="9" t="s">
        <v>295</v>
      </c>
      <c r="B312" s="9" t="s">
        <v>296</v>
      </c>
      <c r="C312" s="16">
        <f t="shared" si="13"/>
        <v>0</v>
      </c>
      <c r="D312" s="16">
        <f>IFERROR(TRIM(LEFT(발주발송관리!T312,FIND(" ",발주발송관리!T312)-1)),0)</f>
        <v>0</v>
      </c>
      <c r="E312" s="16">
        <f>IFERROR(MID(발주발송관리!T312,FIND(" ",발주발송관리!T312)+1,LEN(발주발송관리!T312)-FIND(" ",발주발송관리!T312)+1),0)</f>
        <v>0</v>
      </c>
      <c r="F312" s="16">
        <f>발주발송관리!W312</f>
        <v>0</v>
      </c>
      <c r="G312" s="11">
        <f>발주발송관리!Y312</f>
        <v>0</v>
      </c>
      <c r="H312" s="17">
        <f>발주발송관리!Z312/1.6</f>
        <v>0</v>
      </c>
      <c r="I312" s="10"/>
      <c r="J312" s="10"/>
      <c r="K312" s="11"/>
      <c r="L312" s="11"/>
      <c r="M312" s="16">
        <f>IF(발주발송관리!M312=R312,0,발주발송관리!M312&amp;T312&amp;S312&amp;U312)</f>
        <v>0</v>
      </c>
      <c r="N312" s="16">
        <f>발주발송관리!AZ312</f>
        <v>0</v>
      </c>
      <c r="O312" s="16">
        <f>발주발송관리!AW312</f>
        <v>0</v>
      </c>
      <c r="P312" s="18"/>
      <c r="Q312" s="18">
        <f>발주발송관리!BB312</f>
        <v>0</v>
      </c>
      <c r="S312" s="20" t="str">
        <f t="shared" si="12"/>
        <v/>
      </c>
      <c r="T312" s="20" t="s">
        <v>275</v>
      </c>
      <c r="U312" s="20" t="s">
        <v>285</v>
      </c>
    </row>
    <row r="313" spans="1:21">
      <c r="A313" s="9" t="s">
        <v>295</v>
      </c>
      <c r="B313" s="9" t="s">
        <v>296</v>
      </c>
      <c r="C313" s="16">
        <f t="shared" si="13"/>
        <v>0</v>
      </c>
      <c r="D313" s="16">
        <f>IFERROR(TRIM(LEFT(발주발송관리!T313,FIND(" ",발주발송관리!T313)-1)),0)</f>
        <v>0</v>
      </c>
      <c r="E313" s="16">
        <f>IFERROR(MID(발주발송관리!T313,FIND(" ",발주발송관리!T313)+1,LEN(발주발송관리!T313)-FIND(" ",발주발송관리!T313)+1),0)</f>
        <v>0</v>
      </c>
      <c r="F313" s="16">
        <f>발주발송관리!W313</f>
        <v>0</v>
      </c>
      <c r="G313" s="11">
        <f>발주발송관리!Y313</f>
        <v>0</v>
      </c>
      <c r="H313" s="17">
        <f>발주발송관리!Z313/1.6</f>
        <v>0</v>
      </c>
      <c r="I313" s="10"/>
      <c r="J313" s="10"/>
      <c r="K313" s="11"/>
      <c r="L313" s="11"/>
      <c r="M313" s="16">
        <f>IF(발주발송관리!M313=R313,0,발주발송관리!M313&amp;T313&amp;S313&amp;U313)</f>
        <v>0</v>
      </c>
      <c r="N313" s="16">
        <f>발주발송관리!AZ313</f>
        <v>0</v>
      </c>
      <c r="O313" s="16">
        <f>발주발송관리!AW313</f>
        <v>0</v>
      </c>
      <c r="P313" s="18"/>
      <c r="Q313" s="18">
        <f>발주발송관리!BB313</f>
        <v>0</v>
      </c>
      <c r="S313" s="20" t="str">
        <f t="shared" si="12"/>
        <v/>
      </c>
      <c r="T313" s="20" t="s">
        <v>275</v>
      </c>
      <c r="U313" s="20" t="s">
        <v>285</v>
      </c>
    </row>
    <row r="314" spans="1:21">
      <c r="A314" s="9" t="s">
        <v>295</v>
      </c>
      <c r="B314" s="9" t="s">
        <v>296</v>
      </c>
      <c r="C314" s="16">
        <f t="shared" si="13"/>
        <v>0</v>
      </c>
      <c r="D314" s="16">
        <f>IFERROR(TRIM(LEFT(발주발송관리!T314,FIND(" ",발주발송관리!T314)-1)),0)</f>
        <v>0</v>
      </c>
      <c r="E314" s="16">
        <f>IFERROR(MID(발주발송관리!T314,FIND(" ",발주발송관리!T314)+1,LEN(발주발송관리!T314)-FIND(" ",발주발송관리!T314)+1),0)</f>
        <v>0</v>
      </c>
      <c r="F314" s="16">
        <f>발주발송관리!W314</f>
        <v>0</v>
      </c>
      <c r="G314" s="11">
        <f>발주발송관리!Y314</f>
        <v>0</v>
      </c>
      <c r="H314" s="17">
        <f>발주발송관리!Z314/1.6</f>
        <v>0</v>
      </c>
      <c r="I314" s="10"/>
      <c r="J314" s="10"/>
      <c r="K314" s="11"/>
      <c r="L314" s="11"/>
      <c r="M314" s="16">
        <f>IF(발주발송관리!M314=R314,0,발주발송관리!M314&amp;T314&amp;S314&amp;U314)</f>
        <v>0</v>
      </c>
      <c r="N314" s="16">
        <f>발주발송관리!AZ314</f>
        <v>0</v>
      </c>
      <c r="O314" s="16">
        <f>발주발송관리!AW314</f>
        <v>0</v>
      </c>
      <c r="P314" s="18"/>
      <c r="Q314" s="18">
        <f>발주발송관리!BB314</f>
        <v>0</v>
      </c>
      <c r="S314" s="20" t="str">
        <f t="shared" si="12"/>
        <v/>
      </c>
      <c r="T314" s="20" t="s">
        <v>275</v>
      </c>
      <c r="U314" s="20" t="s">
        <v>285</v>
      </c>
    </row>
    <row r="315" spans="1:21">
      <c r="A315" s="9" t="s">
        <v>295</v>
      </c>
      <c r="B315" s="9" t="s">
        <v>296</v>
      </c>
      <c r="C315" s="16">
        <f t="shared" si="13"/>
        <v>0</v>
      </c>
      <c r="D315" s="16">
        <f>IFERROR(TRIM(LEFT(발주발송관리!T315,FIND(" ",발주발송관리!T315)-1)),0)</f>
        <v>0</v>
      </c>
      <c r="E315" s="16">
        <f>IFERROR(MID(발주발송관리!T315,FIND(" ",발주발송관리!T315)+1,LEN(발주발송관리!T315)-FIND(" ",발주발송관리!T315)+1),0)</f>
        <v>0</v>
      </c>
      <c r="F315" s="16">
        <f>발주발송관리!W315</f>
        <v>0</v>
      </c>
      <c r="G315" s="11">
        <f>발주발송관리!Y315</f>
        <v>0</v>
      </c>
      <c r="H315" s="17">
        <f>발주발송관리!Z315/1.6</f>
        <v>0</v>
      </c>
      <c r="I315" s="10"/>
      <c r="J315" s="10"/>
      <c r="K315" s="11"/>
      <c r="L315" s="11"/>
      <c r="M315" s="16">
        <f>IF(발주발송관리!M315=R315,0,발주발송관리!M315&amp;T315&amp;S315&amp;U315)</f>
        <v>0</v>
      </c>
      <c r="N315" s="16">
        <f>발주발송관리!AZ315</f>
        <v>0</v>
      </c>
      <c r="O315" s="16">
        <f>발주발송관리!AW315</f>
        <v>0</v>
      </c>
      <c r="P315" s="18"/>
      <c r="Q315" s="18">
        <f>발주발송관리!BB315</f>
        <v>0</v>
      </c>
      <c r="S315" s="20" t="str">
        <f t="shared" si="12"/>
        <v/>
      </c>
      <c r="T315" s="20" t="s">
        <v>275</v>
      </c>
      <c r="U315" s="20" t="s">
        <v>285</v>
      </c>
    </row>
    <row r="316" spans="1:21">
      <c r="A316" s="9" t="s">
        <v>295</v>
      </c>
      <c r="B316" s="9" t="s">
        <v>296</v>
      </c>
      <c r="C316" s="16">
        <f t="shared" si="13"/>
        <v>0</v>
      </c>
      <c r="D316" s="16">
        <f>IFERROR(TRIM(LEFT(발주발송관리!T316,FIND(" ",발주발송관리!T316)-1)),0)</f>
        <v>0</v>
      </c>
      <c r="E316" s="16">
        <f>IFERROR(MID(발주발송관리!T316,FIND(" ",발주발송관리!T316)+1,LEN(발주발송관리!T316)-FIND(" ",발주발송관리!T316)+1),0)</f>
        <v>0</v>
      </c>
      <c r="F316" s="16">
        <f>발주발송관리!W316</f>
        <v>0</v>
      </c>
      <c r="G316" s="11">
        <f>발주발송관리!Y316</f>
        <v>0</v>
      </c>
      <c r="H316" s="17">
        <f>발주발송관리!Z316/1.6</f>
        <v>0</v>
      </c>
      <c r="I316" s="10"/>
      <c r="J316" s="10"/>
      <c r="K316" s="11"/>
      <c r="L316" s="11"/>
      <c r="M316" s="16">
        <f>IF(발주발송관리!M316=R316,0,발주발송관리!M316&amp;T316&amp;S316&amp;U316)</f>
        <v>0</v>
      </c>
      <c r="N316" s="16">
        <f>발주발송관리!AZ316</f>
        <v>0</v>
      </c>
      <c r="O316" s="16">
        <f>발주발송관리!AW316</f>
        <v>0</v>
      </c>
      <c r="P316" s="18"/>
      <c r="Q316" s="18">
        <f>발주발송관리!BB316</f>
        <v>0</v>
      </c>
      <c r="S316" s="20" t="str">
        <f t="shared" si="12"/>
        <v/>
      </c>
      <c r="T316" s="20" t="s">
        <v>275</v>
      </c>
      <c r="U316" s="20" t="s">
        <v>285</v>
      </c>
    </row>
    <row r="317" spans="1:21">
      <c r="A317" s="9" t="s">
        <v>295</v>
      </c>
      <c r="B317" s="9" t="s">
        <v>296</v>
      </c>
      <c r="C317" s="16">
        <f t="shared" si="13"/>
        <v>0</v>
      </c>
      <c r="D317" s="16">
        <f>IFERROR(TRIM(LEFT(발주발송관리!T317,FIND(" ",발주발송관리!T317)-1)),0)</f>
        <v>0</v>
      </c>
      <c r="E317" s="16">
        <f>IFERROR(MID(발주발송관리!T317,FIND(" ",발주발송관리!T317)+1,LEN(발주발송관리!T317)-FIND(" ",발주발송관리!T317)+1),0)</f>
        <v>0</v>
      </c>
      <c r="F317" s="16">
        <f>발주발송관리!W317</f>
        <v>0</v>
      </c>
      <c r="G317" s="11">
        <f>발주발송관리!Y317</f>
        <v>0</v>
      </c>
      <c r="H317" s="17">
        <f>발주발송관리!Z317/1.6</f>
        <v>0</v>
      </c>
      <c r="I317" s="10"/>
      <c r="J317" s="10"/>
      <c r="K317" s="11"/>
      <c r="L317" s="11"/>
      <c r="M317" s="16">
        <f>IF(발주발송관리!M317=R317,0,발주발송관리!M317&amp;T317&amp;S317&amp;U317)</f>
        <v>0</v>
      </c>
      <c r="N317" s="16">
        <f>발주발송관리!AZ317</f>
        <v>0</v>
      </c>
      <c r="O317" s="16">
        <f>발주발송관리!AW317</f>
        <v>0</v>
      </c>
      <c r="P317" s="18"/>
      <c r="Q317" s="18">
        <f>발주발송관리!BB317</f>
        <v>0</v>
      </c>
      <c r="S317" s="20" t="str">
        <f t="shared" si="12"/>
        <v/>
      </c>
      <c r="T317" s="20" t="s">
        <v>275</v>
      </c>
      <c r="U317" s="20" t="s">
        <v>285</v>
      </c>
    </row>
    <row r="318" spans="1:21">
      <c r="A318" s="9" t="s">
        <v>295</v>
      </c>
      <c r="B318" s="9" t="s">
        <v>296</v>
      </c>
      <c r="C318" s="16">
        <f t="shared" si="13"/>
        <v>0</v>
      </c>
      <c r="D318" s="16">
        <f>IFERROR(TRIM(LEFT(발주발송관리!T318,FIND(" ",발주발송관리!T318)-1)),0)</f>
        <v>0</v>
      </c>
      <c r="E318" s="16">
        <f>IFERROR(MID(발주발송관리!T318,FIND(" ",발주발송관리!T318)+1,LEN(발주발송관리!T318)-FIND(" ",발주발송관리!T318)+1),0)</f>
        <v>0</v>
      </c>
      <c r="F318" s="16">
        <f>발주발송관리!W318</f>
        <v>0</v>
      </c>
      <c r="G318" s="11">
        <f>발주발송관리!Y318</f>
        <v>0</v>
      </c>
      <c r="H318" s="17">
        <f>발주발송관리!Z318/1.6</f>
        <v>0</v>
      </c>
      <c r="I318" s="10"/>
      <c r="J318" s="10"/>
      <c r="K318" s="11"/>
      <c r="L318" s="11"/>
      <c r="M318" s="16">
        <f>IF(발주발송관리!M318=R318,0,발주발송관리!M318&amp;T318&amp;S318&amp;U318)</f>
        <v>0</v>
      </c>
      <c r="N318" s="16">
        <f>발주발송관리!AZ318</f>
        <v>0</v>
      </c>
      <c r="O318" s="16">
        <f>발주발송관리!AW318</f>
        <v>0</v>
      </c>
      <c r="P318" s="18"/>
      <c r="Q318" s="18">
        <f>발주발송관리!BB318</f>
        <v>0</v>
      </c>
      <c r="S318" s="20" t="str">
        <f t="shared" si="12"/>
        <v/>
      </c>
      <c r="T318" s="20" t="s">
        <v>275</v>
      </c>
      <c r="U318" s="20" t="s">
        <v>285</v>
      </c>
    </row>
    <row r="319" spans="1:21">
      <c r="A319" s="9" t="s">
        <v>295</v>
      </c>
      <c r="B319" s="9" t="s">
        <v>296</v>
      </c>
      <c r="C319" s="16">
        <f t="shared" si="13"/>
        <v>0</v>
      </c>
      <c r="D319" s="16">
        <f>IFERROR(TRIM(LEFT(발주발송관리!T319,FIND(" ",발주발송관리!T319)-1)),0)</f>
        <v>0</v>
      </c>
      <c r="E319" s="16">
        <f>IFERROR(MID(발주발송관리!T319,FIND(" ",발주발송관리!T319)+1,LEN(발주발송관리!T319)-FIND(" ",발주발송관리!T319)+1),0)</f>
        <v>0</v>
      </c>
      <c r="F319" s="16">
        <f>발주발송관리!W319</f>
        <v>0</v>
      </c>
      <c r="G319" s="11">
        <f>발주발송관리!Y319</f>
        <v>0</v>
      </c>
      <c r="H319" s="17">
        <f>발주발송관리!Z319/1.6</f>
        <v>0</v>
      </c>
      <c r="I319" s="10"/>
      <c r="J319" s="10"/>
      <c r="K319" s="11"/>
      <c r="L319" s="11"/>
      <c r="M319" s="16">
        <f>IF(발주발송관리!M319=R319,0,발주발송관리!M319&amp;T319&amp;S319&amp;U319)</f>
        <v>0</v>
      </c>
      <c r="N319" s="16">
        <f>발주발송관리!AZ319</f>
        <v>0</v>
      </c>
      <c r="O319" s="16">
        <f>발주발송관리!AW319</f>
        <v>0</v>
      </c>
      <c r="P319" s="18"/>
      <c r="Q319" s="18">
        <f>발주발송관리!BB319</f>
        <v>0</v>
      </c>
      <c r="S319" s="20" t="str">
        <f t="shared" si="12"/>
        <v/>
      </c>
      <c r="T319" s="20" t="s">
        <v>275</v>
      </c>
      <c r="U319" s="20" t="s">
        <v>285</v>
      </c>
    </row>
    <row r="320" spans="1:21">
      <c r="A320" s="9" t="s">
        <v>295</v>
      </c>
      <c r="B320" s="9" t="s">
        <v>296</v>
      </c>
      <c r="C320" s="16">
        <f t="shared" si="13"/>
        <v>0</v>
      </c>
      <c r="D320" s="16">
        <f>IFERROR(TRIM(LEFT(발주발송관리!T320,FIND(" ",발주발송관리!T320)-1)),0)</f>
        <v>0</v>
      </c>
      <c r="E320" s="16">
        <f>IFERROR(MID(발주발송관리!T320,FIND(" ",발주발송관리!T320)+1,LEN(발주발송관리!T320)-FIND(" ",발주발송관리!T320)+1),0)</f>
        <v>0</v>
      </c>
      <c r="F320" s="16">
        <f>발주발송관리!W320</f>
        <v>0</v>
      </c>
      <c r="G320" s="11">
        <f>발주발송관리!Y320</f>
        <v>0</v>
      </c>
      <c r="H320" s="17">
        <f>발주발송관리!Z320/1.6</f>
        <v>0</v>
      </c>
      <c r="I320" s="10"/>
      <c r="J320" s="10"/>
      <c r="K320" s="11"/>
      <c r="L320" s="11"/>
      <c r="M320" s="16">
        <f>IF(발주발송관리!M320=R320,0,발주발송관리!M320&amp;T320&amp;S320&amp;U320)</f>
        <v>0</v>
      </c>
      <c r="N320" s="16">
        <f>발주발송관리!AZ320</f>
        <v>0</v>
      </c>
      <c r="O320" s="16">
        <f>발주발송관리!AW320</f>
        <v>0</v>
      </c>
      <c r="P320" s="18"/>
      <c r="Q320" s="18">
        <f>발주발송관리!BB320</f>
        <v>0</v>
      </c>
      <c r="S320" s="20" t="str">
        <f t="shared" si="12"/>
        <v/>
      </c>
      <c r="T320" s="20" t="s">
        <v>275</v>
      </c>
      <c r="U320" s="20" t="s">
        <v>285</v>
      </c>
    </row>
    <row r="321" spans="1:21">
      <c r="A321" s="9" t="s">
        <v>295</v>
      </c>
      <c r="B321" s="9" t="s">
        <v>296</v>
      </c>
      <c r="C321" s="16">
        <f t="shared" si="13"/>
        <v>0</v>
      </c>
      <c r="D321" s="16">
        <f>IFERROR(TRIM(LEFT(발주발송관리!T321,FIND(" ",발주발송관리!T321)-1)),0)</f>
        <v>0</v>
      </c>
      <c r="E321" s="16">
        <f>IFERROR(MID(발주발송관리!T321,FIND(" ",발주발송관리!T321)+1,LEN(발주발송관리!T321)-FIND(" ",발주발송관리!T321)+1),0)</f>
        <v>0</v>
      </c>
      <c r="F321" s="16">
        <f>발주발송관리!W321</f>
        <v>0</v>
      </c>
      <c r="G321" s="11">
        <f>발주발송관리!Y321</f>
        <v>0</v>
      </c>
      <c r="H321" s="17">
        <f>발주발송관리!Z321/1.6</f>
        <v>0</v>
      </c>
      <c r="I321" s="10"/>
      <c r="J321" s="10"/>
      <c r="K321" s="11"/>
      <c r="L321" s="11"/>
      <c r="M321" s="16">
        <f>IF(발주발송관리!M321=R321,0,발주발송관리!M321&amp;T321&amp;S321&amp;U321)</f>
        <v>0</v>
      </c>
      <c r="N321" s="16">
        <f>발주발송관리!AZ321</f>
        <v>0</v>
      </c>
      <c r="O321" s="16">
        <f>발주발송관리!AW321</f>
        <v>0</v>
      </c>
      <c r="P321" s="18"/>
      <c r="Q321" s="18">
        <f>발주발송관리!BB321</f>
        <v>0</v>
      </c>
      <c r="S321" s="20" t="str">
        <f t="shared" si="12"/>
        <v/>
      </c>
      <c r="T321" s="20" t="s">
        <v>275</v>
      </c>
      <c r="U321" s="20" t="s">
        <v>285</v>
      </c>
    </row>
    <row r="322" spans="1:21">
      <c r="A322" s="9" t="s">
        <v>295</v>
      </c>
      <c r="B322" s="9" t="s">
        <v>296</v>
      </c>
      <c r="C322" s="16">
        <f t="shared" si="13"/>
        <v>0</v>
      </c>
      <c r="D322" s="16">
        <f>IFERROR(TRIM(LEFT(발주발송관리!T322,FIND(" ",발주발송관리!T322)-1)),0)</f>
        <v>0</v>
      </c>
      <c r="E322" s="16">
        <f>IFERROR(MID(발주발송관리!T322,FIND(" ",발주발송관리!T322)+1,LEN(발주발송관리!T322)-FIND(" ",발주발송관리!T322)+1),0)</f>
        <v>0</v>
      </c>
      <c r="F322" s="16">
        <f>발주발송관리!W322</f>
        <v>0</v>
      </c>
      <c r="G322" s="11">
        <f>발주발송관리!Y322</f>
        <v>0</v>
      </c>
      <c r="H322" s="17">
        <f>발주발송관리!Z322/1.6</f>
        <v>0</v>
      </c>
      <c r="I322" s="10"/>
      <c r="J322" s="10"/>
      <c r="K322" s="11"/>
      <c r="L322" s="11"/>
      <c r="M322" s="16">
        <f>IF(발주발송관리!M322=R322,0,발주발송관리!M322&amp;T322&amp;S322&amp;U322)</f>
        <v>0</v>
      </c>
      <c r="N322" s="16">
        <f>발주발송관리!AZ322</f>
        <v>0</v>
      </c>
      <c r="O322" s="16">
        <f>발주발송관리!AW322</f>
        <v>0</v>
      </c>
      <c r="P322" s="18"/>
      <c r="Q322" s="18">
        <f>발주발송관리!BB322</f>
        <v>0</v>
      </c>
      <c r="S322" s="20" t="str">
        <f t="shared" si="12"/>
        <v/>
      </c>
      <c r="T322" s="20" t="s">
        <v>275</v>
      </c>
      <c r="U322" s="20" t="s">
        <v>285</v>
      </c>
    </row>
    <row r="323" spans="1:21">
      <c r="A323" s="9" t="s">
        <v>295</v>
      </c>
      <c r="B323" s="9" t="s">
        <v>296</v>
      </c>
      <c r="C323" s="16">
        <f t="shared" si="13"/>
        <v>0</v>
      </c>
      <c r="D323" s="16">
        <f>IFERROR(TRIM(LEFT(발주발송관리!T323,FIND(" ",발주발송관리!T323)-1)),0)</f>
        <v>0</v>
      </c>
      <c r="E323" s="16">
        <f>IFERROR(MID(발주발송관리!T323,FIND(" ",발주발송관리!T323)+1,LEN(발주발송관리!T323)-FIND(" ",발주발송관리!T323)+1),0)</f>
        <v>0</v>
      </c>
      <c r="F323" s="16">
        <f>발주발송관리!W323</f>
        <v>0</v>
      </c>
      <c r="G323" s="11">
        <f>발주발송관리!Y323</f>
        <v>0</v>
      </c>
      <c r="H323" s="17">
        <f>발주발송관리!Z323/1.6</f>
        <v>0</v>
      </c>
      <c r="I323" s="10"/>
      <c r="J323" s="10"/>
      <c r="K323" s="11"/>
      <c r="L323" s="11"/>
      <c r="M323" s="16">
        <f>IF(발주발송관리!M323=R323,0,발주발송관리!M323&amp;T323&amp;S323&amp;U323)</f>
        <v>0</v>
      </c>
      <c r="N323" s="16">
        <f>발주발송관리!AZ323</f>
        <v>0</v>
      </c>
      <c r="O323" s="16">
        <f>발주발송관리!AW323</f>
        <v>0</v>
      </c>
      <c r="P323" s="18"/>
      <c r="Q323" s="18">
        <f>발주발송관리!BB323</f>
        <v>0</v>
      </c>
      <c r="S323" s="20" t="str">
        <f t="shared" ref="S323:S328" si="14">IFERROR(LOOKUP(1,0/(FIND($V$2:$V$209,O323)),$W$2:$W$209),"")</f>
        <v/>
      </c>
      <c r="T323" s="20" t="s">
        <v>275</v>
      </c>
      <c r="U323" s="20" t="s">
        <v>285</v>
      </c>
    </row>
    <row r="324" spans="1:21">
      <c r="A324" s="9" t="s">
        <v>295</v>
      </c>
      <c r="B324" s="9" t="s">
        <v>296</v>
      </c>
      <c r="C324" s="16">
        <f t="shared" si="13"/>
        <v>0</v>
      </c>
      <c r="D324" s="16">
        <f>IFERROR(TRIM(LEFT(발주발송관리!T324,FIND(" ",발주발송관리!T324)-1)),0)</f>
        <v>0</v>
      </c>
      <c r="E324" s="16">
        <f>IFERROR(MID(발주발송관리!T324,FIND(" ",발주발송관리!T324)+1,LEN(발주발송관리!T324)-FIND(" ",발주발송관리!T324)+1),0)</f>
        <v>0</v>
      </c>
      <c r="F324" s="16">
        <f>발주발송관리!W324</f>
        <v>0</v>
      </c>
      <c r="G324" s="11">
        <f>발주발송관리!Y324</f>
        <v>0</v>
      </c>
      <c r="H324" s="17">
        <f>발주발송관리!Z324/1.6</f>
        <v>0</v>
      </c>
      <c r="I324" s="10"/>
      <c r="J324" s="10"/>
      <c r="K324" s="11"/>
      <c r="L324" s="11"/>
      <c r="M324" s="16">
        <f>IF(발주발송관리!M324=R324,0,발주발송관리!M324&amp;T324&amp;S324&amp;U324)</f>
        <v>0</v>
      </c>
      <c r="N324" s="16">
        <f>발주발송관리!AZ324</f>
        <v>0</v>
      </c>
      <c r="O324" s="16">
        <f>발주발송관리!AW324</f>
        <v>0</v>
      </c>
      <c r="P324" s="18"/>
      <c r="Q324" s="18">
        <f>발주발송관리!BB324</f>
        <v>0</v>
      </c>
      <c r="S324" s="20" t="str">
        <f t="shared" si="14"/>
        <v/>
      </c>
      <c r="T324" s="20" t="s">
        <v>275</v>
      </c>
      <c r="U324" s="20" t="s">
        <v>285</v>
      </c>
    </row>
    <row r="325" spans="1:21">
      <c r="A325" s="9" t="s">
        <v>295</v>
      </c>
      <c r="B325" s="9" t="s">
        <v>296</v>
      </c>
      <c r="C325" s="16">
        <f t="shared" si="13"/>
        <v>0</v>
      </c>
      <c r="D325" s="16">
        <f>IFERROR(TRIM(LEFT(발주발송관리!T325,FIND(" ",발주발송관리!T325)-1)),0)</f>
        <v>0</v>
      </c>
      <c r="E325" s="16">
        <f>IFERROR(MID(발주발송관리!T325,FIND(" ",발주발송관리!T325)+1,LEN(발주발송관리!T325)-FIND(" ",발주발송관리!T325)+1),0)</f>
        <v>0</v>
      </c>
      <c r="F325" s="16">
        <f>발주발송관리!W325</f>
        <v>0</v>
      </c>
      <c r="G325" s="11">
        <f>발주발송관리!Y325</f>
        <v>0</v>
      </c>
      <c r="H325" s="17">
        <f>발주발송관리!Z325/1.6</f>
        <v>0</v>
      </c>
      <c r="I325" s="10"/>
      <c r="J325" s="10"/>
      <c r="K325" s="11"/>
      <c r="L325" s="11"/>
      <c r="M325" s="16">
        <f>IF(발주발송관리!M325=R325,0,발주발송관리!M325&amp;T325&amp;S325&amp;U325)</f>
        <v>0</v>
      </c>
      <c r="N325" s="16">
        <f>발주발송관리!AZ325</f>
        <v>0</v>
      </c>
      <c r="O325" s="16">
        <f>발주발송관리!AW325</f>
        <v>0</v>
      </c>
      <c r="P325" s="18"/>
      <c r="Q325" s="18">
        <f>발주발송관리!BB325</f>
        <v>0</v>
      </c>
      <c r="S325" s="20" t="str">
        <f t="shared" si="14"/>
        <v/>
      </c>
      <c r="T325" s="20" t="s">
        <v>275</v>
      </c>
      <c r="U325" s="20" t="s">
        <v>285</v>
      </c>
    </row>
    <row r="326" spans="1:21">
      <c r="A326" s="9" t="s">
        <v>295</v>
      </c>
      <c r="B326" s="9" t="s">
        <v>296</v>
      </c>
      <c r="C326" s="16">
        <f t="shared" si="13"/>
        <v>0</v>
      </c>
      <c r="D326" s="16">
        <f>IFERROR(TRIM(LEFT(발주발송관리!T326,FIND(" ",발주발송관리!T326)-1)),0)</f>
        <v>0</v>
      </c>
      <c r="E326" s="16">
        <f>IFERROR(MID(발주발송관리!T326,FIND(" ",발주발송관리!T326)+1,LEN(발주발송관리!T326)-FIND(" ",발주발송관리!T326)+1),0)</f>
        <v>0</v>
      </c>
      <c r="F326" s="16">
        <f>발주발송관리!W326</f>
        <v>0</v>
      </c>
      <c r="G326" s="11">
        <f>발주발송관리!Y326</f>
        <v>0</v>
      </c>
      <c r="H326" s="17">
        <f>발주발송관리!Z326/1.6</f>
        <v>0</v>
      </c>
      <c r="I326" s="10"/>
      <c r="J326" s="10"/>
      <c r="K326" s="11"/>
      <c r="L326" s="11"/>
      <c r="M326" s="16">
        <f>IF(발주발송관리!M326=R326,0,발주발송관리!M326&amp;T326&amp;S326&amp;U326)</f>
        <v>0</v>
      </c>
      <c r="N326" s="16">
        <f>발주발송관리!AZ326</f>
        <v>0</v>
      </c>
      <c r="O326" s="16">
        <f>발주발송관리!AW326</f>
        <v>0</v>
      </c>
      <c r="P326" s="18"/>
      <c r="Q326" s="18">
        <f>발주발송관리!BB326</f>
        <v>0</v>
      </c>
      <c r="S326" s="20" t="str">
        <f t="shared" si="14"/>
        <v/>
      </c>
      <c r="T326" s="20" t="s">
        <v>275</v>
      </c>
      <c r="U326" s="20" t="s">
        <v>285</v>
      </c>
    </row>
    <row r="327" spans="1:21">
      <c r="A327" s="9" t="s">
        <v>295</v>
      </c>
      <c r="B327" s="9" t="s">
        <v>296</v>
      </c>
      <c r="C327" s="16">
        <f t="shared" si="13"/>
        <v>0</v>
      </c>
      <c r="D327" s="16">
        <f>IFERROR(TRIM(LEFT(발주발송관리!T327,FIND(" ",발주발송관리!T327)-1)),0)</f>
        <v>0</v>
      </c>
      <c r="E327" s="16">
        <f>IFERROR(MID(발주발송관리!T327,FIND(" ",발주발송관리!T327)+1,LEN(발주발송관리!T327)-FIND(" ",발주발송관리!T327)+1),0)</f>
        <v>0</v>
      </c>
      <c r="F327" s="16">
        <f>발주발송관리!W327</f>
        <v>0</v>
      </c>
      <c r="G327" s="11">
        <f>발주발송관리!Y327</f>
        <v>0</v>
      </c>
      <c r="H327" s="17">
        <f>발주발송관리!Z327/1.6</f>
        <v>0</v>
      </c>
      <c r="I327" s="10"/>
      <c r="J327" s="10"/>
      <c r="K327" s="11"/>
      <c r="L327" s="11"/>
      <c r="M327" s="16">
        <f>IF(발주발송관리!M327=R327,0,발주발송관리!M327&amp;T327&amp;S327&amp;U327)</f>
        <v>0</v>
      </c>
      <c r="N327" s="16">
        <f>발주발송관리!AZ327</f>
        <v>0</v>
      </c>
      <c r="O327" s="16">
        <f>발주발송관리!AW327</f>
        <v>0</v>
      </c>
      <c r="P327" s="18"/>
      <c r="Q327" s="18">
        <f>발주발송관리!BB327</f>
        <v>0</v>
      </c>
      <c r="S327" s="20" t="str">
        <f t="shared" si="14"/>
        <v/>
      </c>
      <c r="T327" s="20" t="s">
        <v>275</v>
      </c>
      <c r="U327" s="20" t="s">
        <v>285</v>
      </c>
    </row>
    <row r="328" spans="1:21">
      <c r="A328" s="9" t="s">
        <v>295</v>
      </c>
      <c r="B328" s="9" t="s">
        <v>296</v>
      </c>
      <c r="C328" s="16">
        <f t="shared" si="13"/>
        <v>0</v>
      </c>
      <c r="D328" s="16">
        <f>IFERROR(TRIM(LEFT(발주발송관리!T328,FIND(" ",발주발송관리!T328)-1)),0)</f>
        <v>0</v>
      </c>
      <c r="E328" s="16">
        <f>IFERROR(MID(발주발송관리!T328,FIND(" ",발주발송관리!T328)+1,LEN(발주발송관리!T328)-FIND(" ",발주발송관리!T328)+1),0)</f>
        <v>0</v>
      </c>
      <c r="F328" s="16">
        <f>발주발송관리!W328</f>
        <v>0</v>
      </c>
      <c r="G328" s="11">
        <f>발주발송관리!Y328</f>
        <v>0</v>
      </c>
      <c r="H328" s="17">
        <f>발주발송관리!Z328/1.6</f>
        <v>0</v>
      </c>
      <c r="I328" s="10"/>
      <c r="J328" s="10"/>
      <c r="K328" s="11"/>
      <c r="L328" s="11"/>
      <c r="M328" s="16">
        <f>IF(발주발송관리!M328=R328,0,발주발송관리!M328&amp;T328&amp;S328&amp;U328)</f>
        <v>0</v>
      </c>
      <c r="N328" s="16">
        <f>발주발송관리!AZ328</f>
        <v>0</v>
      </c>
      <c r="O328" s="16">
        <f>발주발송관리!AW328</f>
        <v>0</v>
      </c>
      <c r="P328" s="18"/>
      <c r="Q328" s="18">
        <f>발주발송관리!BB328</f>
        <v>0</v>
      </c>
      <c r="S328" s="20" t="str">
        <f t="shared" si="14"/>
        <v/>
      </c>
      <c r="T328" s="20" t="s">
        <v>275</v>
      </c>
      <c r="U328" s="20" t="s">
        <v>285</v>
      </c>
    </row>
    <row r="329" spans="1:21">
      <c r="A329" s="9" t="s">
        <v>295</v>
      </c>
      <c r="B329" s="9" t="s">
        <v>296</v>
      </c>
      <c r="C329" s="16">
        <f t="shared" si="13"/>
        <v>0</v>
      </c>
      <c r="D329" s="16">
        <f>IFERROR(TRIM(LEFT(발주발송관리!T329,FIND(" ",발주발송관리!T329)-1)),0)</f>
        <v>0</v>
      </c>
      <c r="E329" s="16">
        <f>IFERROR(MID(발주발송관리!T329,FIND(" ",발주발송관리!T329)+1,LEN(발주발송관리!T329)-FIND(" ",발주발송관리!T329)+1),0)</f>
        <v>0</v>
      </c>
      <c r="F329" s="16">
        <f>발주발송관리!W329</f>
        <v>0</v>
      </c>
      <c r="G329" s="11">
        <f>발주발송관리!Y329</f>
        <v>0</v>
      </c>
      <c r="H329" s="17">
        <f>발주발송관리!Z329/1.6</f>
        <v>0</v>
      </c>
      <c r="I329" s="10"/>
      <c r="J329" s="10"/>
      <c r="K329" s="11"/>
      <c r="L329" s="11"/>
      <c r="M329" s="16">
        <f>IF(발주발송관리!M329=R329,0,발주발송관리!M329&amp;T329&amp;S329&amp;U329)</f>
        <v>0</v>
      </c>
      <c r="N329" s="16">
        <f>발주발송관리!AZ329</f>
        <v>0</v>
      </c>
      <c r="O329" s="16">
        <f>발주발송관리!AW329</f>
        <v>0</v>
      </c>
      <c r="P329" s="18"/>
      <c r="Q329" s="18">
        <f>발주발송관리!BB329</f>
        <v>0</v>
      </c>
    </row>
    <row r="330" spans="1:21">
      <c r="A330" s="9" t="s">
        <v>295</v>
      </c>
      <c r="B330" s="9" t="s">
        <v>296</v>
      </c>
      <c r="C330" s="16">
        <f t="shared" si="13"/>
        <v>0</v>
      </c>
      <c r="D330" s="16">
        <f>IFERROR(TRIM(LEFT(발주발송관리!T330,FIND(" ",발주발송관리!T330)-1)),0)</f>
        <v>0</v>
      </c>
      <c r="E330" s="16">
        <f>IFERROR(MID(발주발송관리!T330,FIND(" ",발주발송관리!T330)+1,LEN(발주발송관리!T330)-FIND(" ",발주발송관리!T330)+1),0)</f>
        <v>0</v>
      </c>
      <c r="F330" s="16">
        <f>발주발송관리!W330</f>
        <v>0</v>
      </c>
      <c r="G330" s="11">
        <f>발주발송관리!Y330</f>
        <v>0</v>
      </c>
      <c r="H330" s="17">
        <f>발주발송관리!Z330/1.6</f>
        <v>0</v>
      </c>
      <c r="I330" s="10"/>
      <c r="J330" s="10"/>
      <c r="K330" s="11"/>
      <c r="L330" s="11"/>
      <c r="M330" s="16">
        <f>IF(발주발송관리!M330=R330,0,발주발송관리!M330&amp;T330&amp;S330&amp;U330)</f>
        <v>0</v>
      </c>
      <c r="N330" s="16">
        <f>발주발송관리!AZ330</f>
        <v>0</v>
      </c>
      <c r="O330" s="16">
        <f>발주발송관리!AW330</f>
        <v>0</v>
      </c>
      <c r="P330" s="18"/>
      <c r="Q330" s="18">
        <f>발주발송관리!BB330</f>
        <v>0</v>
      </c>
    </row>
    <row r="331" spans="1:21">
      <c r="A331" s="9" t="s">
        <v>295</v>
      </c>
      <c r="B331" s="9" t="s">
        <v>296</v>
      </c>
      <c r="C331" s="16">
        <f t="shared" si="13"/>
        <v>0</v>
      </c>
      <c r="D331" s="16">
        <f>IFERROR(TRIM(LEFT(발주발송관리!T331,FIND(" ",발주발송관리!T331)-1)),0)</f>
        <v>0</v>
      </c>
      <c r="E331" s="16">
        <f>IFERROR(MID(발주발송관리!T331,FIND(" ",발주발송관리!T331)+1,LEN(발주발송관리!T331)-FIND(" ",발주발송관리!T331)+1),0)</f>
        <v>0</v>
      </c>
      <c r="F331" s="16">
        <f>발주발송관리!W331</f>
        <v>0</v>
      </c>
      <c r="G331" s="11">
        <f>발주발송관리!Y331</f>
        <v>0</v>
      </c>
      <c r="H331" s="17">
        <f>발주발송관리!Z331/1.6</f>
        <v>0</v>
      </c>
      <c r="I331" s="10"/>
      <c r="J331" s="10"/>
      <c r="K331" s="11"/>
      <c r="L331" s="11"/>
      <c r="M331" s="16">
        <f>IF(발주발송관리!M331=R331,0,발주발송관리!M331&amp;T331&amp;S331&amp;U331)</f>
        <v>0</v>
      </c>
      <c r="N331" s="16">
        <f>발주발송관리!AZ331</f>
        <v>0</v>
      </c>
      <c r="O331" s="16">
        <f>발주발송관리!AW331</f>
        <v>0</v>
      </c>
      <c r="P331" s="18"/>
      <c r="Q331" s="18">
        <f>발주발송관리!BB331</f>
        <v>0</v>
      </c>
    </row>
    <row r="332" spans="1:21">
      <c r="A332" s="9" t="s">
        <v>295</v>
      </c>
      <c r="B332" s="9" t="s">
        <v>296</v>
      </c>
      <c r="C332" s="16">
        <f t="shared" si="13"/>
        <v>0</v>
      </c>
      <c r="D332" s="16">
        <f>IFERROR(TRIM(LEFT(발주발송관리!T332,FIND(" ",발주발송관리!T332)-1)),0)</f>
        <v>0</v>
      </c>
      <c r="E332" s="16">
        <f>IFERROR(MID(발주발송관리!T332,FIND(" ",발주발송관리!T332)+1,LEN(발주발송관리!T332)-FIND(" ",발주발송관리!T332)+1),0)</f>
        <v>0</v>
      </c>
      <c r="F332" s="16">
        <f>발주발송관리!W332</f>
        <v>0</v>
      </c>
      <c r="G332" s="11">
        <f>발주발송관리!Y332</f>
        <v>0</v>
      </c>
      <c r="H332" s="17">
        <f>발주발송관리!Z332/1.6</f>
        <v>0</v>
      </c>
      <c r="I332" s="10"/>
      <c r="J332" s="10"/>
      <c r="K332" s="11"/>
      <c r="L332" s="11"/>
      <c r="M332" s="16">
        <f>IF(발주발송관리!M332=R332,0,발주발송관리!M332&amp;T332&amp;S332&amp;U332)</f>
        <v>0</v>
      </c>
      <c r="N332" s="16">
        <f>발주발송관리!AZ332</f>
        <v>0</v>
      </c>
      <c r="O332" s="16">
        <f>발주발송관리!AW332</f>
        <v>0</v>
      </c>
      <c r="P332" s="18"/>
      <c r="Q332" s="18">
        <f>발주발송관리!BB332</f>
        <v>0</v>
      </c>
    </row>
    <row r="333" spans="1:21">
      <c r="A333" s="9" t="s">
        <v>295</v>
      </c>
      <c r="B333" s="9" t="s">
        <v>296</v>
      </c>
      <c r="C333" s="16">
        <f t="shared" si="13"/>
        <v>0</v>
      </c>
      <c r="D333" s="16">
        <f>IFERROR(TRIM(LEFT(발주발송관리!T333,FIND(" ",발주발송관리!T333)-1)),0)</f>
        <v>0</v>
      </c>
      <c r="E333" s="16">
        <f>IFERROR(MID(발주발송관리!T333,FIND(" ",발주발송관리!T333)+1,LEN(발주발송관리!T333)-FIND(" ",발주발송관리!T333)+1),0)</f>
        <v>0</v>
      </c>
      <c r="F333" s="16">
        <f>발주발송관리!W333</f>
        <v>0</v>
      </c>
      <c r="G333" s="11">
        <f>발주발송관리!Y333</f>
        <v>0</v>
      </c>
      <c r="H333" s="17">
        <f>발주발송관리!Z333/1.6</f>
        <v>0</v>
      </c>
      <c r="I333" s="10"/>
      <c r="J333" s="10"/>
      <c r="K333" s="11"/>
      <c r="L333" s="11"/>
      <c r="M333" s="16">
        <f>IF(발주발송관리!M333=R333,0,발주발송관리!M333&amp;T333&amp;S333&amp;U333)</f>
        <v>0</v>
      </c>
      <c r="N333" s="16">
        <f>발주발송관리!AZ333</f>
        <v>0</v>
      </c>
      <c r="O333" s="16">
        <f>발주발송관리!AW333</f>
        <v>0</v>
      </c>
      <c r="P333" s="18"/>
      <c r="Q333" s="18">
        <f>발주발송관리!BB333</f>
        <v>0</v>
      </c>
    </row>
    <row r="334" spans="1:21">
      <c r="A334" s="9" t="s">
        <v>295</v>
      </c>
      <c r="B334" s="9" t="s">
        <v>296</v>
      </c>
      <c r="C334" s="16">
        <f t="shared" si="13"/>
        <v>0</v>
      </c>
      <c r="D334" s="16">
        <f>IFERROR(TRIM(LEFT(발주발송관리!T334,FIND(" ",발주발송관리!T334)-1)),0)</f>
        <v>0</v>
      </c>
      <c r="E334" s="16">
        <f>IFERROR(MID(발주발송관리!T334,FIND(" ",발주발송관리!T334)+1,LEN(발주발송관리!T334)-FIND(" ",발주발송관리!T334)+1),0)</f>
        <v>0</v>
      </c>
      <c r="F334" s="16">
        <f>발주발송관리!W334</f>
        <v>0</v>
      </c>
      <c r="G334" s="11">
        <f>발주발송관리!Y334</f>
        <v>0</v>
      </c>
      <c r="H334" s="17">
        <f>발주발송관리!Z334/1.6</f>
        <v>0</v>
      </c>
      <c r="I334" s="10"/>
      <c r="J334" s="10"/>
      <c r="K334" s="11"/>
      <c r="L334" s="11"/>
      <c r="M334" s="16">
        <f>IF(발주발송관리!M334=R334,0,발주발송관리!M334&amp;T334&amp;S334&amp;U334)</f>
        <v>0</v>
      </c>
      <c r="N334" s="16">
        <f>발주발송관리!AZ334</f>
        <v>0</v>
      </c>
      <c r="O334" s="16">
        <f>발주발송관리!AW334</f>
        <v>0</v>
      </c>
      <c r="P334" s="18"/>
      <c r="Q334" s="18">
        <f>발주발송관리!BB334</f>
        <v>0</v>
      </c>
    </row>
    <row r="335" spans="1:21">
      <c r="A335" s="9" t="s">
        <v>295</v>
      </c>
      <c r="B335" s="9" t="s">
        <v>296</v>
      </c>
      <c r="C335" s="16">
        <f t="shared" si="13"/>
        <v>0</v>
      </c>
      <c r="D335" s="16">
        <f>IFERROR(TRIM(LEFT(발주발송관리!T335,FIND(" ",발주발송관리!T335)-1)),0)</f>
        <v>0</v>
      </c>
      <c r="E335" s="16">
        <f>IFERROR(MID(발주발송관리!T335,FIND(" ",발주발송관리!T335)+1,LEN(발주발송관리!T335)-FIND(" ",발주발송관리!T335)+1),0)</f>
        <v>0</v>
      </c>
      <c r="F335" s="16">
        <f>발주발송관리!W335</f>
        <v>0</v>
      </c>
      <c r="G335" s="11">
        <f>발주발송관리!Y335</f>
        <v>0</v>
      </c>
      <c r="H335" s="17">
        <f>발주발송관리!Z335/1.6</f>
        <v>0</v>
      </c>
      <c r="I335" s="10"/>
      <c r="J335" s="10"/>
      <c r="K335" s="11"/>
      <c r="L335" s="11"/>
      <c r="M335" s="16">
        <f>IF(발주발송관리!M335=R335,0,발주발송관리!M335&amp;T335&amp;S335&amp;U335)</f>
        <v>0</v>
      </c>
      <c r="N335" s="16">
        <f>발주발송관리!AZ335</f>
        <v>0</v>
      </c>
      <c r="O335" s="16">
        <f>발주발송관리!AW335</f>
        <v>0</v>
      </c>
      <c r="P335" s="18"/>
      <c r="Q335" s="18">
        <f>발주발송관리!BB335</f>
        <v>0</v>
      </c>
    </row>
    <row r="336" spans="1:21">
      <c r="A336" s="9" t="s">
        <v>295</v>
      </c>
      <c r="B336" s="9" t="s">
        <v>296</v>
      </c>
      <c r="C336" s="16">
        <f t="shared" si="13"/>
        <v>0</v>
      </c>
      <c r="D336" s="16">
        <f>IFERROR(TRIM(LEFT(발주발송관리!T336,FIND(" ",발주발송관리!T336)-1)),0)</f>
        <v>0</v>
      </c>
      <c r="E336" s="16">
        <f>IFERROR(MID(발주발송관리!T336,FIND(" ",발주발송관리!T336)+1,LEN(발주발송관리!T336)-FIND(" ",발주발송관리!T336)+1),0)</f>
        <v>0</v>
      </c>
      <c r="F336" s="16">
        <f>발주발송관리!W336</f>
        <v>0</v>
      </c>
      <c r="G336" s="11">
        <f>발주발송관리!Y336</f>
        <v>0</v>
      </c>
      <c r="H336" s="17">
        <f>발주발송관리!Z336/1.6</f>
        <v>0</v>
      </c>
      <c r="I336" s="10"/>
      <c r="J336" s="10"/>
      <c r="K336" s="11"/>
      <c r="L336" s="11"/>
      <c r="M336" s="16">
        <f>IF(발주발송관리!M336=R336,0,발주발송관리!M336&amp;T336&amp;S336&amp;U336)</f>
        <v>0</v>
      </c>
      <c r="N336" s="16">
        <f>발주발송관리!AZ336</f>
        <v>0</v>
      </c>
      <c r="O336" s="16">
        <f>발주발송관리!AW336</f>
        <v>0</v>
      </c>
      <c r="P336" s="18"/>
      <c r="Q336" s="18">
        <f>발주발송관리!BB336</f>
        <v>0</v>
      </c>
    </row>
    <row r="337" spans="1:17">
      <c r="A337" s="9" t="s">
        <v>295</v>
      </c>
      <c r="B337" s="9" t="s">
        <v>296</v>
      </c>
      <c r="C337" s="16">
        <f t="shared" si="13"/>
        <v>0</v>
      </c>
      <c r="D337" s="16">
        <f>IFERROR(TRIM(LEFT(발주발송관리!T337,FIND(" ",발주발송관리!T337)-1)),0)</f>
        <v>0</v>
      </c>
      <c r="E337" s="16">
        <f>IFERROR(MID(발주발송관리!T337,FIND(" ",발주발송관리!T337)+1,LEN(발주발송관리!T337)-FIND(" ",발주발송관리!T337)+1),0)</f>
        <v>0</v>
      </c>
      <c r="F337" s="16">
        <f>발주발송관리!W337</f>
        <v>0</v>
      </c>
      <c r="G337" s="11">
        <f>발주발송관리!Y337</f>
        <v>0</v>
      </c>
      <c r="H337" s="17">
        <f>발주발송관리!Z337/1.6</f>
        <v>0</v>
      </c>
      <c r="I337" s="10"/>
      <c r="J337" s="10"/>
      <c r="K337" s="11"/>
      <c r="L337" s="11"/>
      <c r="M337" s="16">
        <f>IF(발주발송관리!M337=R337,0,발주발송관리!M337&amp;T337&amp;S337&amp;U337)</f>
        <v>0</v>
      </c>
      <c r="N337" s="16">
        <f>발주발송관리!AZ337</f>
        <v>0</v>
      </c>
      <c r="O337" s="16">
        <f>발주발송관리!AW337</f>
        <v>0</v>
      </c>
      <c r="P337" s="18"/>
      <c r="Q337" s="18">
        <f>발주발송관리!BB337</f>
        <v>0</v>
      </c>
    </row>
    <row r="338" spans="1:17">
      <c r="A338" s="9" t="s">
        <v>295</v>
      </c>
      <c r="B338" s="9" t="s">
        <v>296</v>
      </c>
      <c r="C338" s="16">
        <f t="shared" si="13"/>
        <v>0</v>
      </c>
      <c r="D338" s="16">
        <f>IFERROR(TRIM(LEFT(발주발송관리!T338,FIND(" ",발주발송관리!T338)-1)),0)</f>
        <v>0</v>
      </c>
      <c r="E338" s="16">
        <f>IFERROR(MID(발주발송관리!T338,FIND(" ",발주발송관리!T338)+1,LEN(발주발송관리!T338)-FIND(" ",발주발송관리!T338)+1),0)</f>
        <v>0</v>
      </c>
      <c r="F338" s="16">
        <f>발주발송관리!W338</f>
        <v>0</v>
      </c>
      <c r="G338" s="11">
        <f>발주발송관리!Y338</f>
        <v>0</v>
      </c>
      <c r="H338" s="17">
        <f>발주발송관리!Z338/1.6</f>
        <v>0</v>
      </c>
      <c r="I338" s="10"/>
      <c r="J338" s="10"/>
      <c r="K338" s="11"/>
      <c r="L338" s="11"/>
      <c r="M338" s="16">
        <f>IF(발주발송관리!M338=R338,0,발주발송관리!M338&amp;T338&amp;S338&amp;U338)</f>
        <v>0</v>
      </c>
      <c r="N338" s="16">
        <f>발주발송관리!AZ338</f>
        <v>0</v>
      </c>
      <c r="O338" s="16">
        <f>발주발송관리!AW338</f>
        <v>0</v>
      </c>
      <c r="P338" s="18"/>
      <c r="Q338" s="18">
        <f>발주발송관리!BB338</f>
        <v>0</v>
      </c>
    </row>
    <row r="339" spans="1:17">
      <c r="A339" s="9" t="s">
        <v>295</v>
      </c>
      <c r="B339" s="9" t="s">
        <v>296</v>
      </c>
      <c r="C339" s="16">
        <f t="shared" si="13"/>
        <v>0</v>
      </c>
      <c r="D339" s="16">
        <f>IFERROR(TRIM(LEFT(발주발송관리!T339,FIND(" ",발주발송관리!T339)-1)),0)</f>
        <v>0</v>
      </c>
      <c r="E339" s="16">
        <f>IFERROR(MID(발주발송관리!T339,FIND(" ",발주발송관리!T339)+1,LEN(발주발송관리!T339)-FIND(" ",발주발송관리!T339)+1),0)</f>
        <v>0</v>
      </c>
      <c r="F339" s="16">
        <f>발주발송관리!W339</f>
        <v>0</v>
      </c>
      <c r="G339" s="11">
        <f>발주발송관리!Y339</f>
        <v>0</v>
      </c>
      <c r="H339" s="17">
        <f>발주발송관리!Z339/1.6</f>
        <v>0</v>
      </c>
      <c r="I339" s="10"/>
      <c r="J339" s="10"/>
      <c r="K339" s="11"/>
      <c r="L339" s="11"/>
      <c r="M339" s="16">
        <f>IF(발주발송관리!M339=R339,0,발주발송관리!M339&amp;T339&amp;S339&amp;U339)</f>
        <v>0</v>
      </c>
      <c r="N339" s="16">
        <f>발주발송관리!AZ339</f>
        <v>0</v>
      </c>
      <c r="O339" s="16">
        <f>발주발송관리!AW339</f>
        <v>0</v>
      </c>
      <c r="P339" s="18"/>
      <c r="Q339" s="18">
        <f>발주발송관리!BB339</f>
        <v>0</v>
      </c>
    </row>
    <row r="340" spans="1:17">
      <c r="A340" s="9" t="s">
        <v>295</v>
      </c>
      <c r="B340" s="9" t="s">
        <v>296</v>
      </c>
      <c r="C340" s="16">
        <f t="shared" si="13"/>
        <v>0</v>
      </c>
      <c r="D340" s="16">
        <f>IFERROR(TRIM(LEFT(발주발송관리!T340,FIND(" ",발주발송관리!T340)-1)),0)</f>
        <v>0</v>
      </c>
      <c r="E340" s="16">
        <f>IFERROR(MID(발주발송관리!T340,FIND(" ",발주발송관리!T340)+1,LEN(발주발송관리!T340)-FIND(" ",발주발송관리!T340)+1),0)</f>
        <v>0</v>
      </c>
      <c r="F340" s="16">
        <f>발주발송관리!W340</f>
        <v>0</v>
      </c>
      <c r="G340" s="11">
        <f>발주발송관리!Y340</f>
        <v>0</v>
      </c>
      <c r="H340" s="17">
        <f>발주발송관리!Z340/1.6</f>
        <v>0</v>
      </c>
      <c r="I340" s="10"/>
      <c r="J340" s="10"/>
      <c r="K340" s="11"/>
      <c r="L340" s="11"/>
      <c r="M340" s="16">
        <f>IF(발주발송관리!M340=R340,0,발주발송관리!M340&amp;T340&amp;S340&amp;U340)</f>
        <v>0</v>
      </c>
      <c r="N340" s="16">
        <f>발주발송관리!AZ340</f>
        <v>0</v>
      </c>
      <c r="O340" s="16">
        <f>발주발송관리!AW340</f>
        <v>0</v>
      </c>
      <c r="P340" s="18"/>
      <c r="Q340" s="18">
        <f>발주발송관리!BB340</f>
        <v>0</v>
      </c>
    </row>
    <row r="341" spans="1:17">
      <c r="A341" s="9" t="s">
        <v>295</v>
      </c>
      <c r="B341" s="9" t="s">
        <v>296</v>
      </c>
      <c r="C341" s="16">
        <f t="shared" si="13"/>
        <v>0</v>
      </c>
      <c r="D341" s="16">
        <f>IFERROR(TRIM(LEFT(발주발송관리!T341,FIND(" ",발주발송관리!T341)-1)),0)</f>
        <v>0</v>
      </c>
      <c r="E341" s="16">
        <f>IFERROR(MID(발주발송관리!T341,FIND(" ",발주발송관리!T341)+1,LEN(발주발송관리!T341)-FIND(" ",발주발송관리!T341)+1),0)</f>
        <v>0</v>
      </c>
      <c r="F341" s="16">
        <f>발주발송관리!W341</f>
        <v>0</v>
      </c>
      <c r="G341" s="11">
        <f>발주발송관리!Y341</f>
        <v>0</v>
      </c>
      <c r="H341" s="17">
        <f>발주발송관리!Z341/1.6</f>
        <v>0</v>
      </c>
      <c r="I341" s="10"/>
      <c r="J341" s="10"/>
      <c r="K341" s="11"/>
      <c r="L341" s="11"/>
      <c r="M341" s="16">
        <f>IF(발주발송관리!M341=R341,0,발주발송관리!M341&amp;T341&amp;S341&amp;U341)</f>
        <v>0</v>
      </c>
      <c r="N341" s="16">
        <f>발주발송관리!AZ341</f>
        <v>0</v>
      </c>
      <c r="O341" s="16">
        <f>발주발송관리!AW341</f>
        <v>0</v>
      </c>
      <c r="P341" s="18"/>
      <c r="Q341" s="18">
        <f>발주발송관리!BB341</f>
        <v>0</v>
      </c>
    </row>
    <row r="342" spans="1:17">
      <c r="A342" s="9" t="s">
        <v>295</v>
      </c>
      <c r="B342" s="9" t="s">
        <v>296</v>
      </c>
      <c r="C342" s="16">
        <f t="shared" si="13"/>
        <v>0</v>
      </c>
      <c r="D342" s="16">
        <f>IFERROR(TRIM(LEFT(발주발송관리!T342,FIND(" ",발주발송관리!T342)-1)),0)</f>
        <v>0</v>
      </c>
      <c r="E342" s="16">
        <f>IFERROR(MID(발주발송관리!T342,FIND(" ",발주발송관리!T342)+1,LEN(발주발송관리!T342)-FIND(" ",발주발송관리!T342)+1),0)</f>
        <v>0</v>
      </c>
      <c r="F342" s="16">
        <f>발주발송관리!W342</f>
        <v>0</v>
      </c>
      <c r="G342" s="11">
        <f>발주발송관리!Y342</f>
        <v>0</v>
      </c>
      <c r="H342" s="17">
        <f>발주발송관리!Z342/1.6</f>
        <v>0</v>
      </c>
      <c r="I342" s="10"/>
      <c r="J342" s="10"/>
      <c r="K342" s="11"/>
      <c r="L342" s="11"/>
      <c r="M342" s="16">
        <f>IF(발주발송관리!M342=R342,0,발주발송관리!M342&amp;T342&amp;S342&amp;U342)</f>
        <v>0</v>
      </c>
      <c r="N342" s="16">
        <f>발주발송관리!AZ342</f>
        <v>0</v>
      </c>
      <c r="O342" s="16">
        <f>발주발송관리!AW342</f>
        <v>0</v>
      </c>
      <c r="P342" s="18"/>
      <c r="Q342" s="18">
        <f>발주발송관리!BB342</f>
        <v>0</v>
      </c>
    </row>
    <row r="343" spans="1:17">
      <c r="A343" s="9" t="s">
        <v>295</v>
      </c>
      <c r="B343" s="9" t="s">
        <v>296</v>
      </c>
      <c r="C343" s="16">
        <f t="shared" si="13"/>
        <v>0</v>
      </c>
      <c r="D343" s="16">
        <f>IFERROR(TRIM(LEFT(발주발송관리!T343,FIND(" ",발주발송관리!T343)-1)),0)</f>
        <v>0</v>
      </c>
      <c r="E343" s="16">
        <f>IFERROR(MID(발주발송관리!T343,FIND(" ",발주발송관리!T343)+1,LEN(발주발송관리!T343)-FIND(" ",발주발송관리!T343)+1),0)</f>
        <v>0</v>
      </c>
      <c r="F343" s="16">
        <f>발주발송관리!W343</f>
        <v>0</v>
      </c>
      <c r="G343" s="11">
        <f>발주발송관리!Y343</f>
        <v>0</v>
      </c>
      <c r="H343" s="17">
        <f>발주발송관리!Z343/1.6</f>
        <v>0</v>
      </c>
      <c r="I343" s="10"/>
      <c r="J343" s="10"/>
      <c r="K343" s="11"/>
      <c r="L343" s="11"/>
      <c r="M343" s="16">
        <f>IF(발주발송관리!M343=R343,0,발주발송관리!M343&amp;T343&amp;S343&amp;U343)</f>
        <v>0</v>
      </c>
      <c r="N343" s="16">
        <f>발주발송관리!AZ343</f>
        <v>0</v>
      </c>
      <c r="O343" s="16">
        <f>발주발송관리!AW343</f>
        <v>0</v>
      </c>
      <c r="P343" s="18"/>
      <c r="Q343" s="18">
        <f>발주발송관리!BB343</f>
        <v>0</v>
      </c>
    </row>
    <row r="344" spans="1:17">
      <c r="A344" s="9" t="s">
        <v>295</v>
      </c>
      <c r="B344" s="9" t="s">
        <v>296</v>
      </c>
      <c r="C344" s="16">
        <f t="shared" si="13"/>
        <v>0</v>
      </c>
      <c r="D344" s="16">
        <f>IFERROR(TRIM(LEFT(발주발송관리!T344,FIND(" ",발주발송관리!T344)-1)),0)</f>
        <v>0</v>
      </c>
      <c r="E344" s="16">
        <f>IFERROR(MID(발주발송관리!T344,FIND(" ",발주발송관리!T344)+1,LEN(발주발송관리!T344)-FIND(" ",발주발송관리!T344)+1),0)</f>
        <v>0</v>
      </c>
      <c r="F344" s="16">
        <f>발주발송관리!W344</f>
        <v>0</v>
      </c>
      <c r="G344" s="11">
        <f>발주발송관리!Y344</f>
        <v>0</v>
      </c>
      <c r="H344" s="17">
        <f>발주발송관리!Z344/1.6</f>
        <v>0</v>
      </c>
      <c r="I344" s="10"/>
      <c r="J344" s="10"/>
      <c r="K344" s="11"/>
      <c r="L344" s="11"/>
      <c r="M344" s="16">
        <f>IF(발주발송관리!M344=R344,0,발주발송관리!M344&amp;T344&amp;S344&amp;U344)</f>
        <v>0</v>
      </c>
      <c r="N344" s="16">
        <f>발주발송관리!AZ344</f>
        <v>0</v>
      </c>
      <c r="O344" s="16">
        <f>발주발송관리!AW344</f>
        <v>0</v>
      </c>
      <c r="P344" s="18"/>
      <c r="Q344" s="18">
        <f>발주발송관리!BB344</f>
        <v>0</v>
      </c>
    </row>
    <row r="345" spans="1:17">
      <c r="A345" s="9" t="s">
        <v>295</v>
      </c>
      <c r="B345" s="9" t="s">
        <v>296</v>
      </c>
      <c r="C345" s="16">
        <f t="shared" si="13"/>
        <v>0</v>
      </c>
      <c r="D345" s="16">
        <f>IFERROR(TRIM(LEFT(발주발송관리!T345,FIND(" ",발주발송관리!T345)-1)),0)</f>
        <v>0</v>
      </c>
      <c r="E345" s="16">
        <f>IFERROR(MID(발주발송관리!T345,FIND(" ",발주발송관리!T345)+1,LEN(발주발송관리!T345)-FIND(" ",발주발송관리!T345)+1),0)</f>
        <v>0</v>
      </c>
      <c r="F345" s="16">
        <f>발주발송관리!W345</f>
        <v>0</v>
      </c>
      <c r="G345" s="11">
        <f>발주발송관리!Y345</f>
        <v>0</v>
      </c>
      <c r="H345" s="17">
        <f>발주발송관리!Z345/1.6</f>
        <v>0</v>
      </c>
      <c r="I345" s="10"/>
      <c r="J345" s="10"/>
      <c r="K345" s="11"/>
      <c r="L345" s="11"/>
      <c r="M345" s="16">
        <f>IF(발주발송관리!M345=R345,0,발주발송관리!M345&amp;T345&amp;S345&amp;U345)</f>
        <v>0</v>
      </c>
      <c r="N345" s="16">
        <f>발주발송관리!AZ345</f>
        <v>0</v>
      </c>
      <c r="O345" s="16">
        <f>발주발송관리!AW345</f>
        <v>0</v>
      </c>
      <c r="P345" s="18"/>
      <c r="Q345" s="18">
        <f>발주발송관리!BB345</f>
        <v>0</v>
      </c>
    </row>
    <row r="346" spans="1:17">
      <c r="A346" s="9" t="s">
        <v>295</v>
      </c>
      <c r="B346" s="9" t="s">
        <v>296</v>
      </c>
      <c r="C346" s="16">
        <f t="shared" si="13"/>
        <v>0</v>
      </c>
      <c r="D346" s="16">
        <f>IFERROR(TRIM(LEFT(발주발송관리!T346,FIND(" ",발주발송관리!T346)-1)),0)</f>
        <v>0</v>
      </c>
      <c r="E346" s="16">
        <f>IFERROR(MID(발주발송관리!T346,FIND(" ",발주발송관리!T346)+1,LEN(발주발송관리!T346)-FIND(" ",발주발송관리!T346)+1),0)</f>
        <v>0</v>
      </c>
      <c r="F346" s="16">
        <f>발주발송관리!W346</f>
        <v>0</v>
      </c>
      <c r="G346" s="11">
        <f>발주발송관리!Y346</f>
        <v>0</v>
      </c>
      <c r="H346" s="17">
        <f>발주발송관리!Z346/1.6</f>
        <v>0</v>
      </c>
      <c r="I346" s="10"/>
      <c r="J346" s="10"/>
      <c r="K346" s="11"/>
      <c r="L346" s="11"/>
      <c r="M346" s="16">
        <f>IF(발주발송관리!M346=R346,0,발주발송관리!M346&amp;T346&amp;S346&amp;U346)</f>
        <v>0</v>
      </c>
      <c r="N346" s="16">
        <f>발주발송관리!AZ346</f>
        <v>0</v>
      </c>
      <c r="O346" s="16">
        <f>발주발송관리!AW346</f>
        <v>0</v>
      </c>
      <c r="P346" s="18"/>
      <c r="Q346" s="18">
        <f>발주발송관리!BB346</f>
        <v>0</v>
      </c>
    </row>
    <row r="347" spans="1:17">
      <c r="A347" s="9" t="s">
        <v>295</v>
      </c>
      <c r="B347" s="9" t="s">
        <v>296</v>
      </c>
      <c r="C347" s="16">
        <f t="shared" si="13"/>
        <v>0</v>
      </c>
      <c r="D347" s="16">
        <f>IFERROR(TRIM(LEFT(발주발송관리!T347,FIND(" ",발주발송관리!T347)-1)),0)</f>
        <v>0</v>
      </c>
      <c r="E347" s="16">
        <f>IFERROR(MID(발주발송관리!T347,FIND(" ",발주발송관리!T347)+1,LEN(발주발송관리!T347)-FIND(" ",발주발송관리!T347)+1),0)</f>
        <v>0</v>
      </c>
      <c r="F347" s="16">
        <f>발주발송관리!W347</f>
        <v>0</v>
      </c>
      <c r="G347" s="11">
        <f>발주발송관리!Y347</f>
        <v>0</v>
      </c>
      <c r="H347" s="17">
        <f>발주발송관리!Z347/1.6</f>
        <v>0</v>
      </c>
      <c r="I347" s="10"/>
      <c r="J347" s="10"/>
      <c r="K347" s="11"/>
      <c r="L347" s="11"/>
      <c r="M347" s="16">
        <f>IF(발주발송관리!M347=R347,0,발주발송관리!M347&amp;T347&amp;S347&amp;U347)</f>
        <v>0</v>
      </c>
      <c r="N347" s="16">
        <f>발주발송관리!AZ347</f>
        <v>0</v>
      </c>
      <c r="O347" s="16">
        <f>발주발송관리!AW347</f>
        <v>0</v>
      </c>
      <c r="P347" s="18"/>
      <c r="Q347" s="18">
        <f>발주발송관리!BB347</f>
        <v>0</v>
      </c>
    </row>
    <row r="348" spans="1:17">
      <c r="A348" s="9" t="s">
        <v>295</v>
      </c>
      <c r="B348" s="9" t="s">
        <v>296</v>
      </c>
      <c r="C348" s="16">
        <f t="shared" si="13"/>
        <v>0</v>
      </c>
      <c r="D348" s="16">
        <f>IFERROR(TRIM(LEFT(발주발송관리!T348,FIND(" ",발주발송관리!T348)-1)),0)</f>
        <v>0</v>
      </c>
      <c r="E348" s="16">
        <f>IFERROR(MID(발주발송관리!T348,FIND(" ",발주발송관리!T348)+1,LEN(발주발송관리!T348)-FIND(" ",발주발송관리!T348)+1),0)</f>
        <v>0</v>
      </c>
      <c r="F348" s="16">
        <f>발주발송관리!W348</f>
        <v>0</v>
      </c>
      <c r="G348" s="11">
        <f>발주발송관리!Y348</f>
        <v>0</v>
      </c>
      <c r="H348" s="17">
        <f>발주발송관리!Z348/1.6</f>
        <v>0</v>
      </c>
      <c r="I348" s="10"/>
      <c r="J348" s="10"/>
      <c r="K348" s="11"/>
      <c r="L348" s="11"/>
      <c r="M348" s="16">
        <f>IF(발주발송관리!M348=R348,0,발주발송관리!M348&amp;T348&amp;S348&amp;U348)</f>
        <v>0</v>
      </c>
      <c r="N348" s="16">
        <f>발주발송관리!AZ348</f>
        <v>0</v>
      </c>
      <c r="O348" s="16">
        <f>발주발송관리!AW348</f>
        <v>0</v>
      </c>
      <c r="P348" s="18"/>
      <c r="Q348" s="18">
        <f>발주발송관리!BB348</f>
        <v>0</v>
      </c>
    </row>
    <row r="349" spans="1:17">
      <c r="A349" s="9" t="s">
        <v>295</v>
      </c>
      <c r="B349" s="9" t="s">
        <v>296</v>
      </c>
      <c r="C349" s="16">
        <f t="shared" si="13"/>
        <v>0</v>
      </c>
      <c r="D349" s="16">
        <f>IFERROR(TRIM(LEFT(발주발송관리!T349,FIND(" ",발주발송관리!T349)-1)),0)</f>
        <v>0</v>
      </c>
      <c r="E349" s="16">
        <f>IFERROR(MID(발주발송관리!T349,FIND(" ",발주발송관리!T349)+1,LEN(발주발송관리!T349)-FIND(" ",발주발송관리!T349)+1),0)</f>
        <v>0</v>
      </c>
      <c r="F349" s="16">
        <f>발주발송관리!W349</f>
        <v>0</v>
      </c>
      <c r="G349" s="11">
        <f>발주발송관리!Y349</f>
        <v>0</v>
      </c>
      <c r="H349" s="17">
        <f>발주발송관리!Z349/1.6</f>
        <v>0</v>
      </c>
      <c r="I349" s="10"/>
      <c r="J349" s="10"/>
      <c r="K349" s="11"/>
      <c r="L349" s="11"/>
      <c r="M349" s="16">
        <f>IF(발주발송관리!M349=R349,0,발주발송관리!M349&amp;T349&amp;S349&amp;U349)</f>
        <v>0</v>
      </c>
      <c r="N349" s="16">
        <f>발주발송관리!AZ349</f>
        <v>0</v>
      </c>
      <c r="O349" s="16">
        <f>발주발송관리!AW349</f>
        <v>0</v>
      </c>
      <c r="P349" s="18"/>
      <c r="Q349" s="18">
        <f>발주발송관리!BB349</f>
        <v>0</v>
      </c>
    </row>
    <row r="350" spans="1:17">
      <c r="A350" s="9" t="s">
        <v>295</v>
      </c>
      <c r="B350" s="9" t="s">
        <v>296</v>
      </c>
      <c r="C350" s="16">
        <f t="shared" si="13"/>
        <v>0</v>
      </c>
      <c r="D350" s="16">
        <f>IFERROR(TRIM(LEFT(발주발송관리!T350,FIND(" ",발주발송관리!T350)-1)),0)</f>
        <v>0</v>
      </c>
      <c r="E350" s="16">
        <f>IFERROR(MID(발주발송관리!T350,FIND(" ",발주발송관리!T350)+1,LEN(발주발송관리!T350)-FIND(" ",발주발송관리!T350)+1),0)</f>
        <v>0</v>
      </c>
      <c r="F350" s="16">
        <f>발주발송관리!W350</f>
        <v>0</v>
      </c>
      <c r="G350" s="11">
        <f>발주발송관리!Y350</f>
        <v>0</v>
      </c>
      <c r="H350" s="17">
        <f>발주발송관리!Z350/1.6</f>
        <v>0</v>
      </c>
      <c r="I350" s="10"/>
      <c r="J350" s="10"/>
      <c r="K350" s="11"/>
      <c r="L350" s="11"/>
      <c r="M350" s="16">
        <f>IF(발주발송관리!M350=R350,0,발주발송관리!M350&amp;T350&amp;S350&amp;U350)</f>
        <v>0</v>
      </c>
      <c r="N350" s="16">
        <f>발주발송관리!AZ350</f>
        <v>0</v>
      </c>
      <c r="O350" s="16">
        <f>발주발송관리!AW350</f>
        <v>0</v>
      </c>
      <c r="P350" s="18"/>
      <c r="Q350" s="18">
        <f>발주발송관리!BB350</f>
        <v>0</v>
      </c>
    </row>
    <row r="351" spans="1:17">
      <c r="A351" s="9" t="s">
        <v>295</v>
      </c>
      <c r="B351" s="9" t="s">
        <v>296</v>
      </c>
      <c r="C351" s="16">
        <f t="shared" si="13"/>
        <v>0</v>
      </c>
      <c r="D351" s="16">
        <f>IFERROR(TRIM(LEFT(발주발송관리!T351,FIND(" ",발주발송관리!T351)-1)),0)</f>
        <v>0</v>
      </c>
      <c r="E351" s="16">
        <f>IFERROR(MID(발주발송관리!T351,FIND(" ",발주발송관리!T351)+1,LEN(발주발송관리!T351)-FIND(" ",발주발송관리!T351)+1),0)</f>
        <v>0</v>
      </c>
      <c r="F351" s="16">
        <f>발주발송관리!W351</f>
        <v>0</v>
      </c>
      <c r="G351" s="11">
        <f>발주발송관리!Y351</f>
        <v>0</v>
      </c>
      <c r="H351" s="17">
        <f>발주발송관리!Z351/1.6</f>
        <v>0</v>
      </c>
      <c r="I351" s="10"/>
      <c r="J351" s="10"/>
      <c r="K351" s="11"/>
      <c r="L351" s="11"/>
      <c r="M351" s="16">
        <f>IF(발주발송관리!M351=R351,0,발주발송관리!M351&amp;T351&amp;S351&amp;U351)</f>
        <v>0</v>
      </c>
      <c r="N351" s="16">
        <f>발주발송관리!AZ351</f>
        <v>0</v>
      </c>
      <c r="O351" s="16">
        <f>발주발송관리!AW351</f>
        <v>0</v>
      </c>
      <c r="P351" s="18"/>
      <c r="Q351" s="18">
        <f>발주발송관리!BB351</f>
        <v>0</v>
      </c>
    </row>
    <row r="352" spans="1:17">
      <c r="A352" s="9" t="s">
        <v>295</v>
      </c>
      <c r="B352" s="9" t="s">
        <v>296</v>
      </c>
      <c r="C352" s="16">
        <f t="shared" ref="C352:C392" si="15">M352</f>
        <v>0</v>
      </c>
      <c r="D352" s="16">
        <f>IFERROR(TRIM(LEFT(발주발송관리!T352,FIND(" ",발주발송관리!T352)-1)),0)</f>
        <v>0</v>
      </c>
      <c r="E352" s="16">
        <f>IFERROR(MID(발주발송관리!T352,FIND(" ",발주발송관리!T352)+1,LEN(발주발송관리!T352)-FIND(" ",발주발송관리!T352)+1),0)</f>
        <v>0</v>
      </c>
      <c r="F352" s="16">
        <f>발주발송관리!W352</f>
        <v>0</v>
      </c>
      <c r="G352" s="11">
        <f>발주발송관리!Y352</f>
        <v>0</v>
      </c>
      <c r="H352" s="17">
        <f>발주발송관리!Z352/1.6</f>
        <v>0</v>
      </c>
      <c r="I352" s="10"/>
      <c r="J352" s="10"/>
      <c r="K352" s="11"/>
      <c r="L352" s="11"/>
      <c r="M352" s="16">
        <f>IF(발주발송관리!M352=R352,0,발주발송관리!M352&amp;T352&amp;S352&amp;U352)</f>
        <v>0</v>
      </c>
      <c r="N352" s="16">
        <f>발주발송관리!AZ352</f>
        <v>0</v>
      </c>
      <c r="O352" s="16">
        <f>발주발송관리!AW352</f>
        <v>0</v>
      </c>
      <c r="P352" s="18"/>
      <c r="Q352" s="18">
        <f>발주발송관리!BB352</f>
        <v>0</v>
      </c>
    </row>
    <row r="353" spans="1:17">
      <c r="A353" s="9" t="s">
        <v>295</v>
      </c>
      <c r="B353" s="9" t="s">
        <v>296</v>
      </c>
      <c r="C353" s="16">
        <f t="shared" si="15"/>
        <v>0</v>
      </c>
      <c r="D353" s="16">
        <f>IFERROR(TRIM(LEFT(발주발송관리!T353,FIND(" ",발주발송관리!T353)-1)),0)</f>
        <v>0</v>
      </c>
      <c r="E353" s="16">
        <f>IFERROR(MID(발주발송관리!T353,FIND(" ",발주발송관리!T353)+1,LEN(발주발송관리!T353)-FIND(" ",발주발송관리!T353)+1),0)</f>
        <v>0</v>
      </c>
      <c r="F353" s="16">
        <f>발주발송관리!W353</f>
        <v>0</v>
      </c>
      <c r="G353" s="11">
        <f>발주발송관리!Y353</f>
        <v>0</v>
      </c>
      <c r="H353" s="17">
        <f>발주발송관리!Z353/1.6</f>
        <v>0</v>
      </c>
      <c r="I353" s="10"/>
      <c r="J353" s="10"/>
      <c r="K353" s="11"/>
      <c r="L353" s="11"/>
      <c r="M353" s="16">
        <f>IF(발주발송관리!M353=R353,0,발주발송관리!M353&amp;T353&amp;S353&amp;U353)</f>
        <v>0</v>
      </c>
      <c r="N353" s="16">
        <f>발주발송관리!AZ353</f>
        <v>0</v>
      </c>
      <c r="O353" s="16">
        <f>발주발송관리!AW353</f>
        <v>0</v>
      </c>
      <c r="P353" s="18"/>
      <c r="Q353" s="18">
        <f>발주발송관리!BB353</f>
        <v>0</v>
      </c>
    </row>
    <row r="354" spans="1:17">
      <c r="A354" s="9" t="s">
        <v>295</v>
      </c>
      <c r="B354" s="9" t="s">
        <v>296</v>
      </c>
      <c r="C354" s="16">
        <f t="shared" si="15"/>
        <v>0</v>
      </c>
      <c r="D354" s="16">
        <f>IFERROR(TRIM(LEFT(발주발송관리!T354,FIND(" ",발주발송관리!T354)-1)),0)</f>
        <v>0</v>
      </c>
      <c r="E354" s="16">
        <f>IFERROR(MID(발주발송관리!T354,FIND(" ",발주발송관리!T354)+1,LEN(발주발송관리!T354)-FIND(" ",발주발송관리!T354)+1),0)</f>
        <v>0</v>
      </c>
      <c r="F354" s="16">
        <f>발주발송관리!W354</f>
        <v>0</v>
      </c>
      <c r="G354" s="11">
        <f>발주발송관리!Y354</f>
        <v>0</v>
      </c>
      <c r="H354" s="17">
        <f>발주발송관리!Z354/1.6</f>
        <v>0</v>
      </c>
      <c r="I354" s="10"/>
      <c r="J354" s="10"/>
      <c r="K354" s="11"/>
      <c r="L354" s="11"/>
      <c r="M354" s="16">
        <f>IF(발주발송관리!M354=R354,0,발주발송관리!M354&amp;T354&amp;S354&amp;U354)</f>
        <v>0</v>
      </c>
      <c r="N354" s="16">
        <f>발주발송관리!AZ354</f>
        <v>0</v>
      </c>
      <c r="O354" s="16">
        <f>발주발송관리!AW354</f>
        <v>0</v>
      </c>
      <c r="P354" s="18"/>
      <c r="Q354" s="18">
        <f>발주발송관리!BB354</f>
        <v>0</v>
      </c>
    </row>
    <row r="355" spans="1:17">
      <c r="A355" s="9" t="s">
        <v>295</v>
      </c>
      <c r="B355" s="9" t="s">
        <v>296</v>
      </c>
      <c r="C355" s="16">
        <f t="shared" si="15"/>
        <v>0</v>
      </c>
      <c r="D355" s="16">
        <f>IFERROR(TRIM(LEFT(발주발송관리!T355,FIND(" ",발주발송관리!T355)-1)),0)</f>
        <v>0</v>
      </c>
      <c r="E355" s="16">
        <f>IFERROR(MID(발주발송관리!T355,FIND(" ",발주발송관리!T355)+1,LEN(발주발송관리!T355)-FIND(" ",발주발송관리!T355)+1),0)</f>
        <v>0</v>
      </c>
      <c r="F355" s="16">
        <f>발주발송관리!W355</f>
        <v>0</v>
      </c>
      <c r="G355" s="11">
        <f>발주발송관리!Y355</f>
        <v>0</v>
      </c>
      <c r="H355" s="17">
        <f>발주발송관리!Z355/1.6</f>
        <v>0</v>
      </c>
      <c r="I355" s="10"/>
      <c r="J355" s="10"/>
      <c r="K355" s="11"/>
      <c r="L355" s="11"/>
      <c r="M355" s="16">
        <f>IF(발주발송관리!M355=R355,0,발주발송관리!M355&amp;T355&amp;S355&amp;U355)</f>
        <v>0</v>
      </c>
      <c r="N355" s="16">
        <f>발주발송관리!AZ355</f>
        <v>0</v>
      </c>
      <c r="O355" s="16">
        <f>발주발송관리!AW355</f>
        <v>0</v>
      </c>
      <c r="P355" s="18"/>
      <c r="Q355" s="18">
        <f>발주발송관리!BB355</f>
        <v>0</v>
      </c>
    </row>
    <row r="356" spans="1:17">
      <c r="A356" s="9" t="s">
        <v>295</v>
      </c>
      <c r="B356" s="9" t="s">
        <v>296</v>
      </c>
      <c r="C356" s="16">
        <f t="shared" si="15"/>
        <v>0</v>
      </c>
      <c r="D356" s="16">
        <f>IFERROR(TRIM(LEFT(발주발송관리!T356,FIND(" ",발주발송관리!T356)-1)),0)</f>
        <v>0</v>
      </c>
      <c r="E356" s="16">
        <f>IFERROR(MID(발주발송관리!T356,FIND(" ",발주발송관리!T356)+1,LEN(발주발송관리!T356)-FIND(" ",발주발송관리!T356)+1),0)</f>
        <v>0</v>
      </c>
      <c r="F356" s="16">
        <f>발주발송관리!W356</f>
        <v>0</v>
      </c>
      <c r="G356" s="11">
        <f>발주발송관리!Y356</f>
        <v>0</v>
      </c>
      <c r="H356" s="17">
        <f>발주발송관리!Z356/1.6</f>
        <v>0</v>
      </c>
      <c r="I356" s="10"/>
      <c r="J356" s="10"/>
      <c r="K356" s="11"/>
      <c r="L356" s="11"/>
      <c r="M356" s="16">
        <f>IF(발주발송관리!M356=R356,0,발주발송관리!M356&amp;T356&amp;S356&amp;U356)</f>
        <v>0</v>
      </c>
      <c r="N356" s="16">
        <f>발주발송관리!AZ356</f>
        <v>0</v>
      </c>
      <c r="O356" s="16">
        <f>발주발송관리!AW356</f>
        <v>0</v>
      </c>
      <c r="P356" s="18"/>
      <c r="Q356" s="18">
        <f>발주발송관리!BB356</f>
        <v>0</v>
      </c>
    </row>
    <row r="357" spans="1:17">
      <c r="A357" s="9" t="s">
        <v>295</v>
      </c>
      <c r="B357" s="9" t="s">
        <v>296</v>
      </c>
      <c r="C357" s="16">
        <f t="shared" si="15"/>
        <v>0</v>
      </c>
      <c r="D357" s="16">
        <f>IFERROR(TRIM(LEFT(발주발송관리!T357,FIND(" ",발주발송관리!T357)-1)),0)</f>
        <v>0</v>
      </c>
      <c r="E357" s="16">
        <f>IFERROR(MID(발주발송관리!T357,FIND(" ",발주발송관리!T357)+1,LEN(발주발송관리!T357)-FIND(" ",발주발송관리!T357)+1),0)</f>
        <v>0</v>
      </c>
      <c r="F357" s="16">
        <f>발주발송관리!W357</f>
        <v>0</v>
      </c>
      <c r="G357" s="11">
        <f>발주발송관리!Y357</f>
        <v>0</v>
      </c>
      <c r="H357" s="17">
        <f>발주발송관리!Z357/1.6</f>
        <v>0</v>
      </c>
      <c r="I357" s="10"/>
      <c r="J357" s="10"/>
      <c r="K357" s="11"/>
      <c r="L357" s="11"/>
      <c r="M357" s="16">
        <f>IF(발주발송관리!M357=R357,0,발주발송관리!M357&amp;T357&amp;S357&amp;U357)</f>
        <v>0</v>
      </c>
      <c r="N357" s="16">
        <f>발주발송관리!AZ357</f>
        <v>0</v>
      </c>
      <c r="O357" s="16">
        <f>발주발송관리!AW357</f>
        <v>0</v>
      </c>
      <c r="P357" s="18"/>
      <c r="Q357" s="18">
        <f>발주발송관리!BB357</f>
        <v>0</v>
      </c>
    </row>
    <row r="358" spans="1:17">
      <c r="A358" s="9" t="s">
        <v>295</v>
      </c>
      <c r="B358" s="9" t="s">
        <v>296</v>
      </c>
      <c r="C358" s="16">
        <f t="shared" si="15"/>
        <v>0</v>
      </c>
      <c r="D358" s="16">
        <f>IFERROR(TRIM(LEFT(발주발송관리!T358,FIND(" ",발주발송관리!T358)-1)),0)</f>
        <v>0</v>
      </c>
      <c r="E358" s="16">
        <f>IFERROR(MID(발주발송관리!T358,FIND(" ",발주발송관리!T358)+1,LEN(발주발송관리!T358)-FIND(" ",발주발송관리!T358)+1),0)</f>
        <v>0</v>
      </c>
      <c r="F358" s="16">
        <f>발주발송관리!W358</f>
        <v>0</v>
      </c>
      <c r="G358" s="11">
        <f>발주발송관리!Y358</f>
        <v>0</v>
      </c>
      <c r="H358" s="17">
        <f>발주발송관리!Z358/1.6</f>
        <v>0</v>
      </c>
      <c r="I358" s="10"/>
      <c r="J358" s="10"/>
      <c r="K358" s="11"/>
      <c r="L358" s="11"/>
      <c r="M358" s="16">
        <f>IF(발주발송관리!M358=R358,0,발주발송관리!M358&amp;T358&amp;S358&amp;U358)</f>
        <v>0</v>
      </c>
      <c r="N358" s="16">
        <f>발주발송관리!AZ358</f>
        <v>0</v>
      </c>
      <c r="O358" s="16">
        <f>발주발송관리!AW358</f>
        <v>0</v>
      </c>
      <c r="P358" s="18"/>
      <c r="Q358" s="18">
        <f>발주발송관리!BB358</f>
        <v>0</v>
      </c>
    </row>
    <row r="359" spans="1:17">
      <c r="A359" s="9" t="s">
        <v>295</v>
      </c>
      <c r="B359" s="9" t="s">
        <v>296</v>
      </c>
      <c r="C359" s="16">
        <f t="shared" si="15"/>
        <v>0</v>
      </c>
      <c r="D359" s="16">
        <f>IFERROR(TRIM(LEFT(발주발송관리!T359,FIND(" ",발주발송관리!T359)-1)),0)</f>
        <v>0</v>
      </c>
      <c r="E359" s="16">
        <f>IFERROR(MID(발주발송관리!T359,FIND(" ",발주발송관리!T359)+1,LEN(발주발송관리!T359)-FIND(" ",발주발송관리!T359)+1),0)</f>
        <v>0</v>
      </c>
      <c r="F359" s="16">
        <f>발주발송관리!W359</f>
        <v>0</v>
      </c>
      <c r="G359" s="11">
        <f>발주발송관리!Y359</f>
        <v>0</v>
      </c>
      <c r="H359" s="17">
        <f>발주발송관리!Z359/1.6</f>
        <v>0</v>
      </c>
      <c r="I359" s="10"/>
      <c r="J359" s="10"/>
      <c r="K359" s="11"/>
      <c r="L359" s="11"/>
      <c r="M359" s="16">
        <f>IF(발주발송관리!M359=R359,0,발주발송관리!M359&amp;T359&amp;S359&amp;U359)</f>
        <v>0</v>
      </c>
      <c r="N359" s="16">
        <f>발주발송관리!AZ359</f>
        <v>0</v>
      </c>
      <c r="O359" s="16">
        <f>발주발송관리!AW359</f>
        <v>0</v>
      </c>
      <c r="P359" s="18"/>
      <c r="Q359" s="18">
        <f>발주발송관리!BB359</f>
        <v>0</v>
      </c>
    </row>
    <row r="360" spans="1:17">
      <c r="A360" s="9" t="s">
        <v>295</v>
      </c>
      <c r="B360" s="9" t="s">
        <v>296</v>
      </c>
      <c r="C360" s="16">
        <f t="shared" si="15"/>
        <v>0</v>
      </c>
      <c r="D360" s="16">
        <f>IFERROR(TRIM(LEFT(발주발송관리!T360,FIND(" ",발주발송관리!T360)-1)),0)</f>
        <v>0</v>
      </c>
      <c r="E360" s="16">
        <f>IFERROR(MID(발주발송관리!T360,FIND(" ",발주발송관리!T360)+1,LEN(발주발송관리!T360)-FIND(" ",발주발송관리!T360)+1),0)</f>
        <v>0</v>
      </c>
      <c r="F360" s="16">
        <f>발주발송관리!W360</f>
        <v>0</v>
      </c>
      <c r="G360" s="11">
        <f>발주발송관리!Y360</f>
        <v>0</v>
      </c>
      <c r="H360" s="17">
        <f>발주발송관리!Z360/1.6</f>
        <v>0</v>
      </c>
      <c r="I360" s="10"/>
      <c r="J360" s="10"/>
      <c r="K360" s="11"/>
      <c r="L360" s="11"/>
      <c r="M360" s="16">
        <f>IF(발주발송관리!M360=R360,0,발주발송관리!M360&amp;T360&amp;S360&amp;U360)</f>
        <v>0</v>
      </c>
      <c r="N360" s="16">
        <f>발주발송관리!AZ360</f>
        <v>0</v>
      </c>
      <c r="O360" s="16">
        <f>발주발송관리!AW360</f>
        <v>0</v>
      </c>
      <c r="P360" s="18"/>
      <c r="Q360" s="18">
        <f>발주발송관리!BB360</f>
        <v>0</v>
      </c>
    </row>
    <row r="361" spans="1:17">
      <c r="A361" s="9" t="s">
        <v>295</v>
      </c>
      <c r="B361" s="9" t="s">
        <v>296</v>
      </c>
      <c r="C361" s="16">
        <f t="shared" si="15"/>
        <v>0</v>
      </c>
      <c r="D361" s="16">
        <f>IFERROR(TRIM(LEFT(발주발송관리!T361,FIND(" ",발주발송관리!T361)-1)),0)</f>
        <v>0</v>
      </c>
      <c r="E361" s="16">
        <f>IFERROR(MID(발주발송관리!T361,FIND(" ",발주발송관리!T361)+1,LEN(발주발송관리!T361)-FIND(" ",발주발송관리!T361)+1),0)</f>
        <v>0</v>
      </c>
      <c r="F361" s="16">
        <f>발주발송관리!W361</f>
        <v>0</v>
      </c>
      <c r="G361" s="11">
        <f>발주발송관리!Y361</f>
        <v>0</v>
      </c>
      <c r="H361" s="17">
        <f>발주발송관리!Z361/1.6</f>
        <v>0</v>
      </c>
      <c r="I361" s="10"/>
      <c r="J361" s="10"/>
      <c r="K361" s="11"/>
      <c r="L361" s="11"/>
      <c r="M361" s="16">
        <f>IF(발주발송관리!M361=R361,0,발주발송관리!M361&amp;T361&amp;S361&amp;U361)</f>
        <v>0</v>
      </c>
      <c r="N361" s="16">
        <f>발주발송관리!AZ361</f>
        <v>0</v>
      </c>
      <c r="O361" s="16">
        <f>발주발송관리!AW361</f>
        <v>0</v>
      </c>
      <c r="P361" s="18"/>
      <c r="Q361" s="18">
        <f>발주발송관리!BB361</f>
        <v>0</v>
      </c>
    </row>
    <row r="362" spans="1:17">
      <c r="A362" s="9" t="s">
        <v>295</v>
      </c>
      <c r="B362" s="9" t="s">
        <v>296</v>
      </c>
      <c r="C362" s="16">
        <f t="shared" si="15"/>
        <v>0</v>
      </c>
      <c r="D362" s="16">
        <f>IFERROR(TRIM(LEFT(발주발송관리!T362,FIND(" ",발주발송관리!T362)-1)),0)</f>
        <v>0</v>
      </c>
      <c r="E362" s="16">
        <f>IFERROR(MID(발주발송관리!T362,FIND(" ",발주발송관리!T362)+1,LEN(발주발송관리!T362)-FIND(" ",발주발송관리!T362)+1),0)</f>
        <v>0</v>
      </c>
      <c r="F362" s="16">
        <f>발주발송관리!W362</f>
        <v>0</v>
      </c>
      <c r="G362" s="11">
        <f>발주발송관리!Y362</f>
        <v>0</v>
      </c>
      <c r="H362" s="17">
        <f>발주발송관리!Z362/1.6</f>
        <v>0</v>
      </c>
      <c r="I362" s="10"/>
      <c r="J362" s="10"/>
      <c r="K362" s="11"/>
      <c r="L362" s="11"/>
      <c r="M362" s="16">
        <f>IF(발주발송관리!M362=R362,0,발주발송관리!M362&amp;T362&amp;S362&amp;U362)</f>
        <v>0</v>
      </c>
      <c r="N362" s="16">
        <f>발주발송관리!AZ362</f>
        <v>0</v>
      </c>
      <c r="O362" s="16">
        <f>발주발송관리!AW362</f>
        <v>0</v>
      </c>
      <c r="P362" s="18"/>
      <c r="Q362" s="18">
        <f>발주발송관리!BB362</f>
        <v>0</v>
      </c>
    </row>
    <row r="363" spans="1:17">
      <c r="A363" s="9" t="s">
        <v>295</v>
      </c>
      <c r="B363" s="9" t="s">
        <v>296</v>
      </c>
      <c r="C363" s="16">
        <f t="shared" si="15"/>
        <v>0</v>
      </c>
      <c r="D363" s="16">
        <f>IFERROR(TRIM(LEFT(발주발송관리!T363,FIND(" ",발주발송관리!T363)-1)),0)</f>
        <v>0</v>
      </c>
      <c r="E363" s="16">
        <f>IFERROR(MID(발주발송관리!T363,FIND(" ",발주발송관리!T363)+1,LEN(발주발송관리!T363)-FIND(" ",발주발송관리!T363)+1),0)</f>
        <v>0</v>
      </c>
      <c r="F363" s="16">
        <f>발주발송관리!W363</f>
        <v>0</v>
      </c>
      <c r="G363" s="11">
        <f>발주발송관리!Y363</f>
        <v>0</v>
      </c>
      <c r="H363" s="17">
        <f>발주발송관리!Z363/1.6</f>
        <v>0</v>
      </c>
      <c r="I363" s="10"/>
      <c r="J363" s="10"/>
      <c r="K363" s="11"/>
      <c r="L363" s="11"/>
      <c r="M363" s="16">
        <f>IF(발주발송관리!M363=R363,0,발주발송관리!M363&amp;T363&amp;S363&amp;U363)</f>
        <v>0</v>
      </c>
      <c r="N363" s="16">
        <f>발주발송관리!AZ363</f>
        <v>0</v>
      </c>
      <c r="O363" s="16">
        <f>발주발송관리!AW363</f>
        <v>0</v>
      </c>
      <c r="P363" s="18"/>
      <c r="Q363" s="18">
        <f>발주발송관리!BB363</f>
        <v>0</v>
      </c>
    </row>
    <row r="364" spans="1:17">
      <c r="A364" s="9" t="s">
        <v>295</v>
      </c>
      <c r="B364" s="9" t="s">
        <v>296</v>
      </c>
      <c r="C364" s="16">
        <f t="shared" si="15"/>
        <v>0</v>
      </c>
      <c r="D364" s="16">
        <f>IFERROR(TRIM(LEFT(발주발송관리!T364,FIND(" ",발주발송관리!T364)-1)),0)</f>
        <v>0</v>
      </c>
      <c r="E364" s="16">
        <f>IFERROR(MID(발주발송관리!T364,FIND(" ",발주발송관리!T364)+1,LEN(발주발송관리!T364)-FIND(" ",발주발송관리!T364)+1),0)</f>
        <v>0</v>
      </c>
      <c r="F364" s="16">
        <f>발주발송관리!W364</f>
        <v>0</v>
      </c>
      <c r="G364" s="11">
        <f>발주발송관리!Y364</f>
        <v>0</v>
      </c>
      <c r="H364" s="17">
        <f>발주발송관리!Z364/1.6</f>
        <v>0</v>
      </c>
      <c r="I364" s="10"/>
      <c r="J364" s="10"/>
      <c r="K364" s="11"/>
      <c r="L364" s="11"/>
      <c r="M364" s="16">
        <f>IF(발주발송관리!M364=R364,0,발주발송관리!M364&amp;T364&amp;S364&amp;U364)</f>
        <v>0</v>
      </c>
      <c r="N364" s="16">
        <f>발주발송관리!AZ364</f>
        <v>0</v>
      </c>
      <c r="O364" s="16">
        <f>발주발송관리!AW364</f>
        <v>0</v>
      </c>
      <c r="P364" s="18"/>
      <c r="Q364" s="18">
        <f>발주발송관리!BB364</f>
        <v>0</v>
      </c>
    </row>
    <row r="365" spans="1:17">
      <c r="A365" s="9" t="s">
        <v>295</v>
      </c>
      <c r="B365" s="9" t="s">
        <v>296</v>
      </c>
      <c r="C365" s="16">
        <f t="shared" si="15"/>
        <v>0</v>
      </c>
      <c r="D365" s="16">
        <f>IFERROR(TRIM(LEFT(발주발송관리!T365,FIND(" ",발주발송관리!T365)-1)),0)</f>
        <v>0</v>
      </c>
      <c r="E365" s="16">
        <f>IFERROR(MID(발주발송관리!T365,FIND(" ",발주발송관리!T365)+1,LEN(발주발송관리!T365)-FIND(" ",발주발송관리!T365)+1),0)</f>
        <v>0</v>
      </c>
      <c r="F365" s="16">
        <f>발주발송관리!W365</f>
        <v>0</v>
      </c>
      <c r="G365" s="11">
        <f>발주발송관리!Y365</f>
        <v>0</v>
      </c>
      <c r="H365" s="17">
        <f>발주발송관리!Z365/1.6</f>
        <v>0</v>
      </c>
      <c r="I365" s="10"/>
      <c r="J365" s="10"/>
      <c r="K365" s="11"/>
      <c r="L365" s="11"/>
      <c r="M365" s="16">
        <f>IF(발주발송관리!M365=R365,0,발주발송관리!M365&amp;T365&amp;S365&amp;U365)</f>
        <v>0</v>
      </c>
      <c r="N365" s="16">
        <f>발주발송관리!AZ365</f>
        <v>0</v>
      </c>
      <c r="O365" s="16">
        <f>발주발송관리!AW365</f>
        <v>0</v>
      </c>
      <c r="P365" s="18"/>
      <c r="Q365" s="18">
        <f>발주발송관리!BB365</f>
        <v>0</v>
      </c>
    </row>
    <row r="366" spans="1:17">
      <c r="A366" s="9" t="s">
        <v>295</v>
      </c>
      <c r="B366" s="9" t="s">
        <v>296</v>
      </c>
      <c r="C366" s="16">
        <f t="shared" si="15"/>
        <v>0</v>
      </c>
      <c r="D366" s="16">
        <f>IFERROR(TRIM(LEFT(발주발송관리!T366,FIND(" ",발주발송관리!T366)-1)),0)</f>
        <v>0</v>
      </c>
      <c r="E366" s="16">
        <f>IFERROR(MID(발주발송관리!T366,FIND(" ",발주발송관리!T366)+1,LEN(발주발송관리!T366)-FIND(" ",발주발송관리!T366)+1),0)</f>
        <v>0</v>
      </c>
      <c r="F366" s="16">
        <f>발주발송관리!W366</f>
        <v>0</v>
      </c>
      <c r="G366" s="11">
        <f>발주발송관리!Y366</f>
        <v>0</v>
      </c>
      <c r="H366" s="17">
        <f>발주발송관리!Z366/1.6</f>
        <v>0</v>
      </c>
      <c r="I366" s="10"/>
      <c r="J366" s="10"/>
      <c r="K366" s="11"/>
      <c r="L366" s="11"/>
      <c r="M366" s="16">
        <f>IF(발주발송관리!M366=R366,0,발주발송관리!M366&amp;T366&amp;S366&amp;U366)</f>
        <v>0</v>
      </c>
      <c r="N366" s="16">
        <f>발주발송관리!AZ366</f>
        <v>0</v>
      </c>
      <c r="O366" s="16">
        <f>발주발송관리!AW366</f>
        <v>0</v>
      </c>
      <c r="P366" s="18"/>
      <c r="Q366" s="18">
        <f>발주발송관리!BB366</f>
        <v>0</v>
      </c>
    </row>
    <row r="367" spans="1:17">
      <c r="A367" s="9" t="s">
        <v>295</v>
      </c>
      <c r="B367" s="9" t="s">
        <v>296</v>
      </c>
      <c r="C367" s="16">
        <f t="shared" si="15"/>
        <v>0</v>
      </c>
      <c r="D367" s="16">
        <f>IFERROR(TRIM(LEFT(발주발송관리!T367,FIND(" ",발주발송관리!T367)-1)),0)</f>
        <v>0</v>
      </c>
      <c r="E367" s="16">
        <f>IFERROR(MID(발주발송관리!T367,FIND(" ",발주발송관리!T367)+1,LEN(발주발송관리!T367)-FIND(" ",발주발송관리!T367)+1),0)</f>
        <v>0</v>
      </c>
      <c r="F367" s="16">
        <f>발주발송관리!W367</f>
        <v>0</v>
      </c>
      <c r="G367" s="11">
        <f>발주발송관리!Y367</f>
        <v>0</v>
      </c>
      <c r="H367" s="17">
        <f>발주발송관리!Z367/1.6</f>
        <v>0</v>
      </c>
      <c r="I367" s="10"/>
      <c r="J367" s="10"/>
      <c r="K367" s="11"/>
      <c r="L367" s="11"/>
      <c r="M367" s="16">
        <f>IF(발주발송관리!M367=R367,0,발주발송관리!M367&amp;T367&amp;S367&amp;U367)</f>
        <v>0</v>
      </c>
      <c r="N367" s="16">
        <f>발주발송관리!AZ367</f>
        <v>0</v>
      </c>
      <c r="O367" s="16">
        <f>발주발송관리!AW367</f>
        <v>0</v>
      </c>
      <c r="P367" s="18"/>
      <c r="Q367" s="18">
        <f>발주발송관리!BB367</f>
        <v>0</v>
      </c>
    </row>
    <row r="368" spans="1:17">
      <c r="A368" s="9" t="s">
        <v>295</v>
      </c>
      <c r="B368" s="9" t="s">
        <v>296</v>
      </c>
      <c r="C368" s="16">
        <f t="shared" si="15"/>
        <v>0</v>
      </c>
      <c r="D368" s="16">
        <f>IFERROR(TRIM(LEFT(발주발송관리!T368,FIND(" ",발주발송관리!T368)-1)),0)</f>
        <v>0</v>
      </c>
      <c r="E368" s="16">
        <f>IFERROR(MID(발주발송관리!T368,FIND(" ",발주발송관리!T368)+1,LEN(발주발송관리!T368)-FIND(" ",발주발송관리!T368)+1),0)</f>
        <v>0</v>
      </c>
      <c r="F368" s="16">
        <f>발주발송관리!W368</f>
        <v>0</v>
      </c>
      <c r="G368" s="11">
        <f>발주발송관리!Y368</f>
        <v>0</v>
      </c>
      <c r="H368" s="17">
        <f>발주발송관리!Z368/1.6</f>
        <v>0</v>
      </c>
      <c r="I368" s="10"/>
      <c r="J368" s="10"/>
      <c r="K368" s="11"/>
      <c r="L368" s="11"/>
      <c r="M368" s="16">
        <f>IF(발주발송관리!M368=R368,0,발주발송관리!M368&amp;T368&amp;S368&amp;U368)</f>
        <v>0</v>
      </c>
      <c r="N368" s="16">
        <f>발주발송관리!AZ368</f>
        <v>0</v>
      </c>
      <c r="O368" s="16">
        <f>발주발송관리!AW368</f>
        <v>0</v>
      </c>
      <c r="P368" s="18"/>
      <c r="Q368" s="18">
        <f>발주발송관리!BB368</f>
        <v>0</v>
      </c>
    </row>
    <row r="369" spans="1:17">
      <c r="A369" s="9" t="s">
        <v>295</v>
      </c>
      <c r="B369" s="9" t="s">
        <v>296</v>
      </c>
      <c r="C369" s="16">
        <f t="shared" si="15"/>
        <v>0</v>
      </c>
      <c r="D369" s="16">
        <f>IFERROR(TRIM(LEFT(발주발송관리!T369,FIND(" ",발주발송관리!T369)-1)),0)</f>
        <v>0</v>
      </c>
      <c r="E369" s="16">
        <f>IFERROR(MID(발주발송관리!T369,FIND(" ",발주발송관리!T369)+1,LEN(발주발송관리!T369)-FIND(" ",발주발송관리!T369)+1),0)</f>
        <v>0</v>
      </c>
      <c r="F369" s="16">
        <f>발주발송관리!W369</f>
        <v>0</v>
      </c>
      <c r="G369" s="11">
        <f>발주발송관리!Y369</f>
        <v>0</v>
      </c>
      <c r="H369" s="17">
        <f>발주발송관리!Z369/1.6</f>
        <v>0</v>
      </c>
      <c r="I369" s="10"/>
      <c r="J369" s="10"/>
      <c r="K369" s="11"/>
      <c r="L369" s="11"/>
      <c r="M369" s="16">
        <f>IF(발주발송관리!M369=R369,0,발주발송관리!M369&amp;T369&amp;S369&amp;U369)</f>
        <v>0</v>
      </c>
      <c r="N369" s="16">
        <f>발주발송관리!AZ369</f>
        <v>0</v>
      </c>
      <c r="O369" s="16">
        <f>발주발송관리!AW369</f>
        <v>0</v>
      </c>
      <c r="P369" s="18"/>
      <c r="Q369" s="18">
        <f>발주발송관리!BB369</f>
        <v>0</v>
      </c>
    </row>
    <row r="370" spans="1:17">
      <c r="A370" s="9" t="s">
        <v>295</v>
      </c>
      <c r="B370" s="9" t="s">
        <v>296</v>
      </c>
      <c r="C370" s="16">
        <f t="shared" si="15"/>
        <v>0</v>
      </c>
      <c r="D370" s="16">
        <f>IFERROR(TRIM(LEFT(발주발송관리!T370,FIND(" ",발주발송관리!T370)-1)),0)</f>
        <v>0</v>
      </c>
      <c r="E370" s="16">
        <f>IFERROR(MID(발주발송관리!T370,FIND(" ",발주발송관리!T370)+1,LEN(발주발송관리!T370)-FIND(" ",발주발송관리!T370)+1),0)</f>
        <v>0</v>
      </c>
      <c r="F370" s="16">
        <f>발주발송관리!W370</f>
        <v>0</v>
      </c>
      <c r="G370" s="11">
        <f>발주발송관리!Y370</f>
        <v>0</v>
      </c>
      <c r="H370" s="17">
        <f>발주발송관리!Z370/1.6</f>
        <v>0</v>
      </c>
      <c r="I370" s="10"/>
      <c r="J370" s="10"/>
      <c r="K370" s="11"/>
      <c r="L370" s="11"/>
      <c r="M370" s="16">
        <f>IF(발주발송관리!M370=R370,0,발주발송관리!M370&amp;T370&amp;S370&amp;U370)</f>
        <v>0</v>
      </c>
      <c r="N370" s="16">
        <f>발주발송관리!AZ370</f>
        <v>0</v>
      </c>
      <c r="O370" s="16">
        <f>발주발송관리!AW370</f>
        <v>0</v>
      </c>
      <c r="P370" s="18"/>
      <c r="Q370" s="18">
        <f>발주발송관리!BB370</f>
        <v>0</v>
      </c>
    </row>
    <row r="371" spans="1:17">
      <c r="A371" s="9" t="s">
        <v>295</v>
      </c>
      <c r="B371" s="9" t="s">
        <v>296</v>
      </c>
      <c r="C371" s="16">
        <f t="shared" si="15"/>
        <v>0</v>
      </c>
      <c r="D371" s="16">
        <f>IFERROR(TRIM(LEFT(발주발송관리!T371,FIND(" ",발주발송관리!T371)-1)),0)</f>
        <v>0</v>
      </c>
      <c r="E371" s="16">
        <f>IFERROR(MID(발주발송관리!T371,FIND(" ",발주발송관리!T371)+1,LEN(발주발송관리!T371)-FIND(" ",발주발송관리!T371)+1),0)</f>
        <v>0</v>
      </c>
      <c r="F371" s="16">
        <f>발주발송관리!W371</f>
        <v>0</v>
      </c>
      <c r="G371" s="11">
        <f>발주발송관리!Y371</f>
        <v>0</v>
      </c>
      <c r="H371" s="17">
        <f>발주발송관리!Z371/1.6</f>
        <v>0</v>
      </c>
      <c r="I371" s="10"/>
      <c r="J371" s="10"/>
      <c r="K371" s="11"/>
      <c r="L371" s="11"/>
      <c r="M371" s="16">
        <f>IF(발주발송관리!M371=R371,0,발주발송관리!M371&amp;T371&amp;S371&amp;U371)</f>
        <v>0</v>
      </c>
      <c r="N371" s="16">
        <f>발주발송관리!AZ371</f>
        <v>0</v>
      </c>
      <c r="O371" s="16">
        <f>발주발송관리!AW371</f>
        <v>0</v>
      </c>
      <c r="P371" s="18"/>
      <c r="Q371" s="18">
        <f>발주발송관리!BB371</f>
        <v>0</v>
      </c>
    </row>
    <row r="372" spans="1:17">
      <c r="A372" s="9" t="s">
        <v>295</v>
      </c>
      <c r="B372" s="9" t="s">
        <v>296</v>
      </c>
      <c r="C372" s="16">
        <f t="shared" si="15"/>
        <v>0</v>
      </c>
      <c r="D372" s="16">
        <f>IFERROR(TRIM(LEFT(발주발송관리!T372,FIND(" ",발주발송관리!T372)-1)),0)</f>
        <v>0</v>
      </c>
      <c r="E372" s="16">
        <f>IFERROR(MID(발주발송관리!T372,FIND(" ",발주발송관리!T372)+1,LEN(발주발송관리!T372)-FIND(" ",발주발송관리!T372)+1),0)</f>
        <v>0</v>
      </c>
      <c r="F372" s="16">
        <f>발주발송관리!W372</f>
        <v>0</v>
      </c>
      <c r="G372" s="11">
        <f>발주발송관리!Y372</f>
        <v>0</v>
      </c>
      <c r="H372" s="17">
        <f>발주발송관리!Z372/1.6</f>
        <v>0</v>
      </c>
      <c r="I372" s="10"/>
      <c r="J372" s="10"/>
      <c r="K372" s="11"/>
      <c r="L372" s="11"/>
      <c r="M372" s="16">
        <f>IF(발주발송관리!M372=R372,0,발주발송관리!M372&amp;T372&amp;S372&amp;U372)</f>
        <v>0</v>
      </c>
      <c r="N372" s="16">
        <f>발주발송관리!AZ372</f>
        <v>0</v>
      </c>
      <c r="O372" s="16">
        <f>발주발송관리!AW372</f>
        <v>0</v>
      </c>
      <c r="P372" s="18"/>
      <c r="Q372" s="18">
        <f>발주발송관리!BB372</f>
        <v>0</v>
      </c>
    </row>
    <row r="373" spans="1:17">
      <c r="A373" s="9" t="s">
        <v>295</v>
      </c>
      <c r="B373" s="9" t="s">
        <v>296</v>
      </c>
      <c r="C373" s="16">
        <f t="shared" si="15"/>
        <v>0</v>
      </c>
      <c r="D373" s="16">
        <f>IFERROR(TRIM(LEFT(발주발송관리!T373,FIND(" ",발주발송관리!T373)-1)),0)</f>
        <v>0</v>
      </c>
      <c r="E373" s="16">
        <f>IFERROR(MID(발주발송관리!T373,FIND(" ",발주발송관리!T373)+1,LEN(발주발송관리!T373)-FIND(" ",발주발송관리!T373)+1),0)</f>
        <v>0</v>
      </c>
      <c r="F373" s="16">
        <f>발주발송관리!W373</f>
        <v>0</v>
      </c>
      <c r="G373" s="11">
        <f>발주발송관리!Y373</f>
        <v>0</v>
      </c>
      <c r="H373" s="17">
        <f>발주발송관리!Z373/1.6</f>
        <v>0</v>
      </c>
      <c r="I373" s="10"/>
      <c r="J373" s="10"/>
      <c r="K373" s="11"/>
      <c r="L373" s="11"/>
      <c r="M373" s="16">
        <f>IF(발주발송관리!M373=R373,0,발주발송관리!M373&amp;T373&amp;S373&amp;U373)</f>
        <v>0</v>
      </c>
      <c r="N373" s="16">
        <f>발주발송관리!AZ373</f>
        <v>0</v>
      </c>
      <c r="O373" s="16">
        <f>발주발송관리!AW373</f>
        <v>0</v>
      </c>
      <c r="P373" s="18"/>
      <c r="Q373" s="18">
        <f>발주발송관리!BB373</f>
        <v>0</v>
      </c>
    </row>
    <row r="374" spans="1:17">
      <c r="A374" s="9" t="s">
        <v>295</v>
      </c>
      <c r="B374" s="9" t="s">
        <v>296</v>
      </c>
      <c r="C374" s="16">
        <f t="shared" si="15"/>
        <v>0</v>
      </c>
      <c r="D374" s="16">
        <f>IFERROR(TRIM(LEFT(발주발송관리!T374,FIND(" ",발주발송관리!T374)-1)),0)</f>
        <v>0</v>
      </c>
      <c r="E374" s="16">
        <f>IFERROR(MID(발주발송관리!T374,FIND(" ",발주발송관리!T374)+1,LEN(발주발송관리!T374)-FIND(" ",발주발송관리!T374)+1),0)</f>
        <v>0</v>
      </c>
      <c r="F374" s="16">
        <f>발주발송관리!W374</f>
        <v>0</v>
      </c>
      <c r="G374" s="11">
        <f>발주발송관리!Y374</f>
        <v>0</v>
      </c>
      <c r="H374" s="17">
        <f>발주발송관리!Z374/1.6</f>
        <v>0</v>
      </c>
      <c r="I374" s="10"/>
      <c r="J374" s="10"/>
      <c r="K374" s="11"/>
      <c r="L374" s="11"/>
      <c r="M374" s="16">
        <f>IF(발주발송관리!M374=R374,0,발주발송관리!M374&amp;T374&amp;S374&amp;U374)</f>
        <v>0</v>
      </c>
      <c r="N374" s="16">
        <f>발주발송관리!AZ374</f>
        <v>0</v>
      </c>
      <c r="O374" s="16">
        <f>발주발송관리!AW374</f>
        <v>0</v>
      </c>
      <c r="P374" s="18"/>
      <c r="Q374" s="18">
        <f>발주발송관리!BB374</f>
        <v>0</v>
      </c>
    </row>
    <row r="375" spans="1:17">
      <c r="A375" s="9" t="s">
        <v>295</v>
      </c>
      <c r="B375" s="9" t="s">
        <v>296</v>
      </c>
      <c r="C375" s="16">
        <f t="shared" si="15"/>
        <v>0</v>
      </c>
      <c r="D375" s="16">
        <f>IFERROR(TRIM(LEFT(발주발송관리!T375,FIND(" ",발주발송관리!T375)-1)),0)</f>
        <v>0</v>
      </c>
      <c r="E375" s="16">
        <f>IFERROR(MID(발주발송관리!T375,FIND(" ",발주발송관리!T375)+1,LEN(발주발송관리!T375)-FIND(" ",발주발송관리!T375)+1),0)</f>
        <v>0</v>
      </c>
      <c r="F375" s="16">
        <f>발주발송관리!W375</f>
        <v>0</v>
      </c>
      <c r="G375" s="11">
        <f>발주발송관리!Y375</f>
        <v>0</v>
      </c>
      <c r="H375" s="17">
        <f>발주발송관리!Z375/1.6</f>
        <v>0</v>
      </c>
      <c r="I375" s="10"/>
      <c r="J375" s="10"/>
      <c r="K375" s="11"/>
      <c r="L375" s="11"/>
      <c r="M375" s="16">
        <f>IF(발주발송관리!M375=R375,0,발주발송관리!M375&amp;T375&amp;S375&amp;U375)</f>
        <v>0</v>
      </c>
      <c r="N375" s="16">
        <f>발주발송관리!AZ375</f>
        <v>0</v>
      </c>
      <c r="O375" s="16">
        <f>발주발송관리!AW375</f>
        <v>0</v>
      </c>
      <c r="P375" s="18"/>
      <c r="Q375" s="18">
        <f>발주발송관리!BB375</f>
        <v>0</v>
      </c>
    </row>
    <row r="376" spans="1:17">
      <c r="A376" s="9" t="s">
        <v>295</v>
      </c>
      <c r="B376" s="9" t="s">
        <v>296</v>
      </c>
      <c r="C376" s="16">
        <f t="shared" si="15"/>
        <v>0</v>
      </c>
      <c r="D376" s="16">
        <f>IFERROR(TRIM(LEFT(발주발송관리!T376,FIND(" ",발주발송관리!T376)-1)),0)</f>
        <v>0</v>
      </c>
      <c r="E376" s="16">
        <f>IFERROR(MID(발주발송관리!T376,FIND(" ",발주발송관리!T376)+1,LEN(발주발송관리!T376)-FIND(" ",발주발송관리!T376)+1),0)</f>
        <v>0</v>
      </c>
      <c r="F376" s="16">
        <f>발주발송관리!W376</f>
        <v>0</v>
      </c>
      <c r="G376" s="11">
        <f>발주발송관리!Y376</f>
        <v>0</v>
      </c>
      <c r="H376" s="17">
        <f>발주발송관리!Z376/1.6</f>
        <v>0</v>
      </c>
      <c r="I376" s="10"/>
      <c r="J376" s="10"/>
      <c r="K376" s="11"/>
      <c r="L376" s="11"/>
      <c r="M376" s="16">
        <f>IF(발주발송관리!M376=R376,0,발주발송관리!M376&amp;T376&amp;S376&amp;U376)</f>
        <v>0</v>
      </c>
      <c r="N376" s="16">
        <f>발주발송관리!AZ376</f>
        <v>0</v>
      </c>
      <c r="O376" s="16">
        <f>발주발송관리!AW376</f>
        <v>0</v>
      </c>
      <c r="P376" s="18"/>
      <c r="Q376" s="18">
        <f>발주발송관리!BB376</f>
        <v>0</v>
      </c>
    </row>
    <row r="377" spans="1:17">
      <c r="A377" s="9" t="s">
        <v>295</v>
      </c>
      <c r="B377" s="9" t="s">
        <v>296</v>
      </c>
      <c r="C377" s="16">
        <f t="shared" si="15"/>
        <v>0</v>
      </c>
      <c r="D377" s="16">
        <f>IFERROR(TRIM(LEFT(발주발송관리!T377,FIND(" ",발주발송관리!T377)-1)),0)</f>
        <v>0</v>
      </c>
      <c r="E377" s="16">
        <f>IFERROR(MID(발주발송관리!T377,FIND(" ",발주발송관리!T377)+1,LEN(발주발송관리!T377)-FIND(" ",발주발송관리!T377)+1),0)</f>
        <v>0</v>
      </c>
      <c r="F377" s="16">
        <f>발주발송관리!W377</f>
        <v>0</v>
      </c>
      <c r="G377" s="11">
        <f>발주발송관리!Y377</f>
        <v>0</v>
      </c>
      <c r="H377" s="17">
        <f>발주발송관리!Z377/1.6</f>
        <v>0</v>
      </c>
      <c r="I377" s="10"/>
      <c r="J377" s="10"/>
      <c r="K377" s="11"/>
      <c r="L377" s="11"/>
      <c r="M377" s="16">
        <f>IF(발주발송관리!M377=R377,0,발주발송관리!M377&amp;T377&amp;S377&amp;U377)</f>
        <v>0</v>
      </c>
      <c r="N377" s="16">
        <f>발주발송관리!AZ377</f>
        <v>0</v>
      </c>
      <c r="O377" s="16">
        <f>발주발송관리!AW377</f>
        <v>0</v>
      </c>
      <c r="P377" s="18"/>
      <c r="Q377" s="18">
        <f>발주발송관리!BB377</f>
        <v>0</v>
      </c>
    </row>
    <row r="378" spans="1:17">
      <c r="A378" s="9" t="s">
        <v>295</v>
      </c>
      <c r="B378" s="9" t="s">
        <v>296</v>
      </c>
      <c r="C378" s="16">
        <f t="shared" si="15"/>
        <v>0</v>
      </c>
      <c r="D378" s="16">
        <f>IFERROR(TRIM(LEFT(발주발송관리!T378,FIND(" ",발주발송관리!T378)-1)),0)</f>
        <v>0</v>
      </c>
      <c r="E378" s="16">
        <f>IFERROR(MID(발주발송관리!T378,FIND(" ",발주발송관리!T378)+1,LEN(발주발송관리!T378)-FIND(" ",발주발송관리!T378)+1),0)</f>
        <v>0</v>
      </c>
      <c r="F378" s="16">
        <f>발주발송관리!W378</f>
        <v>0</v>
      </c>
      <c r="G378" s="11">
        <f>발주발송관리!Y378</f>
        <v>0</v>
      </c>
      <c r="H378" s="17">
        <f>발주발송관리!Z378/1.6</f>
        <v>0</v>
      </c>
      <c r="I378" s="10"/>
      <c r="J378" s="10"/>
      <c r="K378" s="11"/>
      <c r="L378" s="11"/>
      <c r="M378" s="16">
        <f>IF(발주발송관리!M378=R378,0,발주발송관리!M378&amp;T378&amp;S378&amp;U378)</f>
        <v>0</v>
      </c>
      <c r="N378" s="16">
        <f>발주발송관리!AZ378</f>
        <v>0</v>
      </c>
      <c r="O378" s="16">
        <f>발주발송관리!AW378</f>
        <v>0</v>
      </c>
      <c r="P378" s="18"/>
      <c r="Q378" s="18">
        <f>발주발송관리!BB378</f>
        <v>0</v>
      </c>
    </row>
    <row r="379" spans="1:17">
      <c r="A379" s="9" t="s">
        <v>295</v>
      </c>
      <c r="B379" s="9" t="s">
        <v>296</v>
      </c>
      <c r="C379" s="16">
        <f t="shared" si="15"/>
        <v>0</v>
      </c>
      <c r="D379" s="16">
        <f>IFERROR(TRIM(LEFT(발주발송관리!T379,FIND(" ",발주발송관리!T379)-1)),0)</f>
        <v>0</v>
      </c>
      <c r="E379" s="16">
        <f>IFERROR(MID(발주발송관리!T379,FIND(" ",발주발송관리!T379)+1,LEN(발주발송관리!T379)-FIND(" ",발주발송관리!T379)+1),0)</f>
        <v>0</v>
      </c>
      <c r="F379" s="16">
        <f>발주발송관리!W379</f>
        <v>0</v>
      </c>
      <c r="G379" s="11">
        <f>발주발송관리!Y379</f>
        <v>0</v>
      </c>
      <c r="H379" s="17">
        <f>발주발송관리!Z379/1.6</f>
        <v>0</v>
      </c>
      <c r="I379" s="10"/>
      <c r="J379" s="10"/>
      <c r="K379" s="11"/>
      <c r="L379" s="11"/>
      <c r="M379" s="16">
        <f>IF(발주발송관리!M379=R379,0,발주발송관리!M379&amp;T379&amp;S379&amp;U379)</f>
        <v>0</v>
      </c>
      <c r="N379" s="16">
        <f>발주발송관리!AZ379</f>
        <v>0</v>
      </c>
      <c r="O379" s="16">
        <f>발주발송관리!AW379</f>
        <v>0</v>
      </c>
      <c r="P379" s="18"/>
      <c r="Q379" s="18">
        <f>발주발송관리!BB379</f>
        <v>0</v>
      </c>
    </row>
    <row r="380" spans="1:17">
      <c r="A380" s="9" t="s">
        <v>295</v>
      </c>
      <c r="B380" s="9" t="s">
        <v>296</v>
      </c>
      <c r="C380" s="16">
        <f t="shared" si="15"/>
        <v>0</v>
      </c>
      <c r="D380" s="16">
        <f>IFERROR(TRIM(LEFT(발주발송관리!T380,FIND(" ",발주발송관리!T380)-1)),0)</f>
        <v>0</v>
      </c>
      <c r="E380" s="16">
        <f>IFERROR(MID(발주발송관리!T380,FIND(" ",발주발송관리!T380)+1,LEN(발주발송관리!T380)-FIND(" ",발주발송관리!T380)+1),0)</f>
        <v>0</v>
      </c>
      <c r="F380" s="16">
        <f>발주발송관리!W380</f>
        <v>0</v>
      </c>
      <c r="G380" s="11">
        <f>발주발송관리!Y380</f>
        <v>0</v>
      </c>
      <c r="H380" s="17">
        <f>발주발송관리!Z380/1.6</f>
        <v>0</v>
      </c>
      <c r="I380" s="10"/>
      <c r="J380" s="10"/>
      <c r="K380" s="11"/>
      <c r="L380" s="11"/>
      <c r="M380" s="16">
        <f>IF(발주발송관리!M380=R380,0,발주발송관리!M380&amp;T380&amp;S380&amp;U380)</f>
        <v>0</v>
      </c>
      <c r="N380" s="16">
        <f>발주발송관리!AZ380</f>
        <v>0</v>
      </c>
      <c r="O380" s="16">
        <f>발주발송관리!AW380</f>
        <v>0</v>
      </c>
      <c r="P380" s="18"/>
      <c r="Q380" s="18">
        <f>발주발송관리!BB380</f>
        <v>0</v>
      </c>
    </row>
    <row r="381" spans="1:17">
      <c r="A381" s="9" t="s">
        <v>295</v>
      </c>
      <c r="B381" s="9" t="s">
        <v>296</v>
      </c>
      <c r="C381" s="16">
        <f t="shared" si="15"/>
        <v>0</v>
      </c>
      <c r="D381" s="16">
        <f>IFERROR(TRIM(LEFT(발주발송관리!T381,FIND(" ",발주발송관리!T381)-1)),0)</f>
        <v>0</v>
      </c>
      <c r="E381" s="16">
        <f>IFERROR(MID(발주발송관리!T381,FIND(" ",발주발송관리!T381)+1,LEN(발주발송관리!T381)-FIND(" ",발주발송관리!T381)+1),0)</f>
        <v>0</v>
      </c>
      <c r="F381" s="16">
        <f>발주발송관리!W381</f>
        <v>0</v>
      </c>
      <c r="G381" s="11">
        <f>발주발송관리!Y381</f>
        <v>0</v>
      </c>
      <c r="H381" s="17">
        <f>발주발송관리!Z381/1.6</f>
        <v>0</v>
      </c>
      <c r="I381" s="10"/>
      <c r="J381" s="10"/>
      <c r="K381" s="11"/>
      <c r="L381" s="11"/>
      <c r="M381" s="16">
        <f>IF(발주발송관리!M381=R381,0,발주발송관리!M381&amp;T381&amp;S381&amp;U381)</f>
        <v>0</v>
      </c>
      <c r="N381" s="16">
        <f>발주발송관리!AZ381</f>
        <v>0</v>
      </c>
      <c r="O381" s="16">
        <f>발주발송관리!AW381</f>
        <v>0</v>
      </c>
      <c r="P381" s="18"/>
      <c r="Q381" s="18">
        <f>발주발송관리!BB381</f>
        <v>0</v>
      </c>
    </row>
    <row r="382" spans="1:17">
      <c r="A382" s="9" t="s">
        <v>295</v>
      </c>
      <c r="B382" s="9" t="s">
        <v>296</v>
      </c>
      <c r="C382" s="16">
        <f t="shared" si="15"/>
        <v>0</v>
      </c>
      <c r="D382" s="16">
        <f>IFERROR(TRIM(LEFT(발주발송관리!T382,FIND(" ",발주발송관리!T382)-1)),0)</f>
        <v>0</v>
      </c>
      <c r="E382" s="16">
        <f>IFERROR(MID(발주발송관리!T382,FIND(" ",발주발송관리!T382)+1,LEN(발주발송관리!T382)-FIND(" ",발주발송관리!T382)+1),0)</f>
        <v>0</v>
      </c>
      <c r="F382" s="16">
        <f>발주발송관리!W382</f>
        <v>0</v>
      </c>
      <c r="G382" s="11">
        <f>발주발송관리!Y382</f>
        <v>0</v>
      </c>
      <c r="H382" s="17">
        <f>발주발송관리!Z382/1.6</f>
        <v>0</v>
      </c>
      <c r="I382" s="10"/>
      <c r="J382" s="10"/>
      <c r="K382" s="11"/>
      <c r="L382" s="11"/>
      <c r="M382" s="16">
        <f>IF(발주발송관리!M382=R382,0,발주발송관리!M382&amp;T382&amp;S382&amp;U382)</f>
        <v>0</v>
      </c>
      <c r="N382" s="16">
        <f>발주발송관리!AZ382</f>
        <v>0</v>
      </c>
      <c r="O382" s="16">
        <f>발주발송관리!AW382</f>
        <v>0</v>
      </c>
      <c r="P382" s="18"/>
      <c r="Q382" s="18">
        <f>발주발송관리!BB382</f>
        <v>0</v>
      </c>
    </row>
    <row r="383" spans="1:17">
      <c r="A383" s="9" t="s">
        <v>295</v>
      </c>
      <c r="B383" s="9" t="s">
        <v>296</v>
      </c>
      <c r="C383" s="16">
        <f t="shared" si="15"/>
        <v>0</v>
      </c>
      <c r="D383" s="16">
        <f>IFERROR(TRIM(LEFT(발주발송관리!T383,FIND(" ",발주발송관리!T383)-1)),0)</f>
        <v>0</v>
      </c>
      <c r="E383" s="16">
        <f>IFERROR(MID(발주발송관리!T383,FIND(" ",발주발송관리!T383)+1,LEN(발주발송관리!T383)-FIND(" ",발주발송관리!T383)+1),0)</f>
        <v>0</v>
      </c>
      <c r="F383" s="16">
        <f>발주발송관리!W383</f>
        <v>0</v>
      </c>
      <c r="G383" s="11">
        <f>발주발송관리!Y383</f>
        <v>0</v>
      </c>
      <c r="H383" s="17">
        <f>발주발송관리!Z383/1.6</f>
        <v>0</v>
      </c>
      <c r="I383" s="10"/>
      <c r="J383" s="10"/>
      <c r="K383" s="11"/>
      <c r="L383" s="11"/>
      <c r="M383" s="16">
        <f>IF(발주발송관리!M383=R383,0,발주발송관리!M383&amp;T383&amp;S383&amp;U383)</f>
        <v>0</v>
      </c>
      <c r="N383" s="16">
        <f>발주발송관리!AZ383</f>
        <v>0</v>
      </c>
      <c r="O383" s="16">
        <f>발주발송관리!AW383</f>
        <v>0</v>
      </c>
      <c r="P383" s="18"/>
      <c r="Q383" s="18">
        <f>발주발송관리!BB383</f>
        <v>0</v>
      </c>
    </row>
    <row r="384" spans="1:17">
      <c r="A384" s="9" t="s">
        <v>295</v>
      </c>
      <c r="B384" s="9" t="s">
        <v>296</v>
      </c>
      <c r="C384" s="16">
        <f t="shared" si="15"/>
        <v>0</v>
      </c>
      <c r="D384" s="16">
        <f>IFERROR(TRIM(LEFT(발주발송관리!T384,FIND(" ",발주발송관리!T384)-1)),0)</f>
        <v>0</v>
      </c>
      <c r="E384" s="16">
        <f>IFERROR(MID(발주발송관리!T384,FIND(" ",발주발송관리!T384)+1,LEN(발주발송관리!T384)-FIND(" ",발주발송관리!T384)+1),0)</f>
        <v>0</v>
      </c>
      <c r="F384" s="16">
        <f>발주발송관리!W384</f>
        <v>0</v>
      </c>
      <c r="G384" s="11">
        <f>발주발송관리!Y384</f>
        <v>0</v>
      </c>
      <c r="H384" s="17">
        <f>발주발송관리!Z384/1.6</f>
        <v>0</v>
      </c>
      <c r="I384" s="10"/>
      <c r="J384" s="10"/>
      <c r="K384" s="11"/>
      <c r="L384" s="11"/>
      <c r="M384" s="16">
        <f>IF(발주발송관리!M384=R384,0,발주발송관리!M384&amp;T384&amp;S384&amp;U384)</f>
        <v>0</v>
      </c>
      <c r="N384" s="16">
        <f>발주발송관리!AZ384</f>
        <v>0</v>
      </c>
      <c r="O384" s="16">
        <f>발주발송관리!AW384</f>
        <v>0</v>
      </c>
      <c r="P384" s="18"/>
      <c r="Q384" s="18">
        <f>발주발송관리!BB384</f>
        <v>0</v>
      </c>
    </row>
    <row r="385" spans="1:17">
      <c r="A385" s="9" t="s">
        <v>295</v>
      </c>
      <c r="B385" s="9" t="s">
        <v>296</v>
      </c>
      <c r="C385" s="16">
        <f t="shared" si="15"/>
        <v>0</v>
      </c>
      <c r="D385" s="16">
        <f>IFERROR(TRIM(LEFT(발주발송관리!T385,FIND(" ",발주발송관리!T385)-1)),0)</f>
        <v>0</v>
      </c>
      <c r="E385" s="16">
        <f>IFERROR(MID(발주발송관리!T385,FIND(" ",발주발송관리!T385)+1,LEN(발주발송관리!T385)-FIND(" ",발주발송관리!T385)+1),0)</f>
        <v>0</v>
      </c>
      <c r="F385" s="16">
        <f>발주발송관리!W385</f>
        <v>0</v>
      </c>
      <c r="G385" s="11">
        <f>발주발송관리!Y385</f>
        <v>0</v>
      </c>
      <c r="H385" s="17">
        <f>발주발송관리!Z385/1.6</f>
        <v>0</v>
      </c>
      <c r="I385" s="10"/>
      <c r="J385" s="10"/>
      <c r="K385" s="11"/>
      <c r="L385" s="11"/>
      <c r="M385" s="16">
        <f>IF(발주발송관리!M385=R385,0,발주발송관리!M385&amp;T385&amp;S385&amp;U385)</f>
        <v>0</v>
      </c>
      <c r="N385" s="16">
        <f>발주발송관리!AZ385</f>
        <v>0</v>
      </c>
      <c r="O385" s="16">
        <f>발주발송관리!AW385</f>
        <v>0</v>
      </c>
      <c r="P385" s="18"/>
      <c r="Q385" s="18">
        <f>발주발송관리!BB385</f>
        <v>0</v>
      </c>
    </row>
    <row r="386" spans="1:17">
      <c r="A386" s="9" t="s">
        <v>295</v>
      </c>
      <c r="B386" s="9" t="s">
        <v>296</v>
      </c>
      <c r="C386" s="16">
        <f t="shared" si="15"/>
        <v>0</v>
      </c>
      <c r="D386" s="16">
        <f>IFERROR(TRIM(LEFT(발주발송관리!T386,FIND(" ",발주발송관리!T386)-1)),0)</f>
        <v>0</v>
      </c>
      <c r="E386" s="16">
        <f>IFERROR(MID(발주발송관리!T386,FIND(" ",발주발송관리!T386)+1,LEN(발주발송관리!T386)-FIND(" ",발주발송관리!T386)+1),0)</f>
        <v>0</v>
      </c>
      <c r="F386" s="16">
        <f>발주발송관리!W386</f>
        <v>0</v>
      </c>
      <c r="G386" s="11">
        <f>발주발송관리!Y386</f>
        <v>0</v>
      </c>
      <c r="H386" s="17">
        <f>발주발송관리!Z386/1.6</f>
        <v>0</v>
      </c>
      <c r="I386" s="10"/>
      <c r="J386" s="10"/>
      <c r="K386" s="11"/>
      <c r="L386" s="11"/>
      <c r="M386" s="16">
        <f>IF(발주발송관리!M386=R386,0,발주발송관리!M386&amp;T386&amp;S386&amp;U386)</f>
        <v>0</v>
      </c>
      <c r="N386" s="16">
        <f>발주발송관리!AZ386</f>
        <v>0</v>
      </c>
      <c r="O386" s="16">
        <f>발주발송관리!AW386</f>
        <v>0</v>
      </c>
      <c r="P386" s="18"/>
      <c r="Q386" s="18">
        <f>발주발송관리!BB386</f>
        <v>0</v>
      </c>
    </row>
    <row r="387" spans="1:17">
      <c r="A387" s="9" t="s">
        <v>295</v>
      </c>
      <c r="B387" s="9" t="s">
        <v>296</v>
      </c>
      <c r="C387" s="16">
        <f t="shared" si="15"/>
        <v>0</v>
      </c>
      <c r="D387" s="16">
        <f>IFERROR(TRIM(LEFT(발주발송관리!T387,FIND(" ",발주발송관리!T387)-1)),0)</f>
        <v>0</v>
      </c>
      <c r="E387" s="16">
        <f>IFERROR(MID(발주발송관리!T387,FIND(" ",발주발송관리!T387)+1,LEN(발주발송관리!T387)-FIND(" ",발주발송관리!T387)+1),0)</f>
        <v>0</v>
      </c>
      <c r="F387" s="16">
        <f>발주발송관리!W387</f>
        <v>0</v>
      </c>
      <c r="G387" s="11">
        <f>발주발송관리!Y387</f>
        <v>0</v>
      </c>
      <c r="H387" s="17">
        <f>발주발송관리!Z387/1.6</f>
        <v>0</v>
      </c>
      <c r="I387" s="10"/>
      <c r="J387" s="10"/>
      <c r="K387" s="11"/>
      <c r="L387" s="11"/>
      <c r="M387" s="16">
        <f>IF(발주발송관리!M387=R387,0,발주발송관리!M387&amp;T387&amp;S387&amp;U387)</f>
        <v>0</v>
      </c>
      <c r="N387" s="16">
        <f>발주발송관리!AZ387</f>
        <v>0</v>
      </c>
      <c r="O387" s="16">
        <f>발주발송관리!AW387</f>
        <v>0</v>
      </c>
      <c r="P387" s="18"/>
      <c r="Q387" s="18">
        <f>발주발송관리!BB387</f>
        <v>0</v>
      </c>
    </row>
    <row r="388" spans="1:17">
      <c r="A388" s="9" t="s">
        <v>295</v>
      </c>
      <c r="B388" s="9" t="s">
        <v>296</v>
      </c>
      <c r="C388" s="16">
        <f t="shared" si="15"/>
        <v>0</v>
      </c>
      <c r="D388" s="16">
        <f>IFERROR(TRIM(LEFT(발주발송관리!T388,FIND(" ",발주발송관리!T388)-1)),0)</f>
        <v>0</v>
      </c>
      <c r="E388" s="16">
        <f>IFERROR(MID(발주발송관리!T388,FIND(" ",발주발송관리!T388)+1,LEN(발주발송관리!T388)-FIND(" ",발주발송관리!T388)+1),0)</f>
        <v>0</v>
      </c>
      <c r="F388" s="16">
        <f>발주발송관리!W388</f>
        <v>0</v>
      </c>
      <c r="G388" s="11">
        <f>발주발송관리!Y388</f>
        <v>0</v>
      </c>
      <c r="H388" s="17">
        <f>발주발송관리!Z388/1.6</f>
        <v>0</v>
      </c>
      <c r="I388" s="10"/>
      <c r="J388" s="10"/>
      <c r="K388" s="11"/>
      <c r="L388" s="11"/>
      <c r="M388" s="16">
        <f>IF(발주발송관리!M388=R388,0,발주발송관리!M388&amp;T388&amp;S388&amp;U388)</f>
        <v>0</v>
      </c>
      <c r="N388" s="16">
        <f>발주발송관리!AZ388</f>
        <v>0</v>
      </c>
      <c r="O388" s="16">
        <f>발주발송관리!AW388</f>
        <v>0</v>
      </c>
      <c r="P388" s="18"/>
      <c r="Q388" s="18">
        <f>발주발송관리!BB388</f>
        <v>0</v>
      </c>
    </row>
    <row r="389" spans="1:17">
      <c r="A389" s="9" t="s">
        <v>295</v>
      </c>
      <c r="B389" s="9" t="s">
        <v>296</v>
      </c>
      <c r="C389" s="16">
        <f t="shared" si="15"/>
        <v>0</v>
      </c>
      <c r="D389" s="16">
        <f>IFERROR(TRIM(LEFT(발주발송관리!T389,FIND(" ",발주발송관리!T389)-1)),0)</f>
        <v>0</v>
      </c>
      <c r="E389" s="16">
        <f>IFERROR(MID(발주발송관리!T389,FIND(" ",발주발송관리!T389)+1,LEN(발주발송관리!T389)-FIND(" ",발주발송관리!T389)+1),0)</f>
        <v>0</v>
      </c>
      <c r="F389" s="16">
        <f>발주발송관리!W389</f>
        <v>0</v>
      </c>
      <c r="G389" s="11">
        <f>발주발송관리!Y389</f>
        <v>0</v>
      </c>
      <c r="H389" s="17">
        <f>발주발송관리!Z389/1.6</f>
        <v>0</v>
      </c>
      <c r="I389" s="10"/>
      <c r="J389" s="10"/>
      <c r="K389" s="11"/>
      <c r="L389" s="11"/>
      <c r="M389" s="16">
        <f>IF(발주발송관리!M389=R389,0,발주발송관리!M389&amp;T389&amp;S389&amp;U389)</f>
        <v>0</v>
      </c>
      <c r="N389" s="16">
        <f>발주발송관리!AZ389</f>
        <v>0</v>
      </c>
      <c r="O389" s="16">
        <f>발주발송관리!AW389</f>
        <v>0</v>
      </c>
      <c r="P389" s="18"/>
      <c r="Q389" s="18">
        <f>발주발송관리!BB389</f>
        <v>0</v>
      </c>
    </row>
    <row r="390" spans="1:17">
      <c r="A390" s="9" t="s">
        <v>295</v>
      </c>
      <c r="B390" s="9" t="s">
        <v>296</v>
      </c>
      <c r="C390" s="16">
        <f t="shared" si="15"/>
        <v>0</v>
      </c>
      <c r="D390" s="16">
        <f>IFERROR(TRIM(LEFT(발주발송관리!T390,FIND(" ",발주발송관리!T390)-1)),0)</f>
        <v>0</v>
      </c>
      <c r="E390" s="16">
        <f>IFERROR(MID(발주발송관리!T390,FIND(" ",발주발송관리!T390)+1,LEN(발주발송관리!T390)-FIND(" ",발주발송관리!T390)+1),0)</f>
        <v>0</v>
      </c>
      <c r="F390" s="16">
        <f>발주발송관리!W390</f>
        <v>0</v>
      </c>
      <c r="G390" s="11">
        <f>발주발송관리!Y390</f>
        <v>0</v>
      </c>
      <c r="H390" s="17">
        <f>발주발송관리!Z390/1.6</f>
        <v>0</v>
      </c>
      <c r="I390" s="10"/>
      <c r="J390" s="10"/>
      <c r="K390" s="11"/>
      <c r="L390" s="11"/>
      <c r="M390" s="16">
        <f>IF(발주발송관리!M390=R390,0,발주발송관리!M390&amp;T390&amp;S390&amp;U390)</f>
        <v>0</v>
      </c>
      <c r="N390" s="16">
        <f>발주발송관리!AZ390</f>
        <v>0</v>
      </c>
      <c r="O390" s="16">
        <f>발주발송관리!AW390</f>
        <v>0</v>
      </c>
      <c r="P390" s="18"/>
      <c r="Q390" s="18">
        <f>발주발송관리!BB390</f>
        <v>0</v>
      </c>
    </row>
    <row r="391" spans="1:17">
      <c r="A391" s="9" t="s">
        <v>295</v>
      </c>
      <c r="B391" s="9" t="s">
        <v>296</v>
      </c>
      <c r="C391" s="16">
        <f t="shared" si="15"/>
        <v>0</v>
      </c>
      <c r="D391" s="16">
        <f>IFERROR(TRIM(LEFT(발주발송관리!T391,FIND(" ",발주발송관리!T391)-1)),0)</f>
        <v>0</v>
      </c>
      <c r="E391" s="16">
        <f>IFERROR(MID(발주발송관리!T391,FIND(" ",발주발송관리!T391)+1,LEN(발주발송관리!T391)-FIND(" ",발주발송관리!T391)+1),0)</f>
        <v>0</v>
      </c>
      <c r="F391" s="16">
        <f>발주발송관리!W391</f>
        <v>0</v>
      </c>
      <c r="G391" s="11">
        <f>발주발송관리!Y391</f>
        <v>0</v>
      </c>
      <c r="H391" s="17">
        <f>발주발송관리!Z391/1.6</f>
        <v>0</v>
      </c>
      <c r="I391" s="10"/>
      <c r="J391" s="10"/>
      <c r="K391" s="11"/>
      <c r="L391" s="11"/>
      <c r="M391" s="16">
        <f>IF(발주발송관리!M391=R391,0,발주발송관리!M391&amp;T391&amp;S391&amp;U391)</f>
        <v>0</v>
      </c>
      <c r="N391" s="16">
        <f>발주발송관리!AZ391</f>
        <v>0</v>
      </c>
      <c r="O391" s="16">
        <f>발주발송관리!AW391</f>
        <v>0</v>
      </c>
      <c r="P391" s="18"/>
      <c r="Q391" s="18">
        <f>발주발송관리!BB391</f>
        <v>0</v>
      </c>
    </row>
    <row r="392" spans="1:17">
      <c r="A392" s="9" t="s">
        <v>295</v>
      </c>
      <c r="B392" s="9" t="s">
        <v>296</v>
      </c>
      <c r="C392" s="16">
        <f t="shared" si="15"/>
        <v>0</v>
      </c>
      <c r="D392" s="16">
        <f>IFERROR(TRIM(LEFT(발주발송관리!T392,FIND(" ",발주발송관리!T392)-1)),0)</f>
        <v>0</v>
      </c>
      <c r="E392" s="16">
        <f>IFERROR(MID(발주발송관리!T392,FIND(" ",발주발송관리!T392)+1,LEN(발주발송관리!T392)-FIND(" ",발주발송관리!T392)+1),0)</f>
        <v>0</v>
      </c>
      <c r="F392" s="16">
        <f>발주발송관리!W392</f>
        <v>0</v>
      </c>
      <c r="G392" s="11">
        <f>발주발송관리!Y392</f>
        <v>0</v>
      </c>
      <c r="H392" s="17">
        <f>발주발송관리!Z392/1.6</f>
        <v>0</v>
      </c>
      <c r="I392" s="10"/>
      <c r="J392" s="10"/>
      <c r="K392" s="11"/>
      <c r="L392" s="11"/>
      <c r="M392" s="16">
        <f>IF(발주발송관리!M392=R392,0,발주발송관리!M392&amp;T392&amp;S392&amp;U392)</f>
        <v>0</v>
      </c>
      <c r="N392" s="16">
        <f>발주발송관리!AZ392</f>
        <v>0</v>
      </c>
      <c r="O392" s="16">
        <f>발주발송관리!AW392</f>
        <v>0</v>
      </c>
      <c r="P392" s="18"/>
      <c r="Q392" s="18">
        <f>발주발송관리!BB392</f>
        <v>0</v>
      </c>
    </row>
    <row r="393" spans="1:17">
      <c r="A393" s="9" t="s">
        <v>295</v>
      </c>
      <c r="B393" s="9" t="s">
        <v>296</v>
      </c>
      <c r="C393" s="16">
        <f t="shared" ref="C393:C402" si="16">M393</f>
        <v>0</v>
      </c>
      <c r="D393" s="16">
        <f>IFERROR(TRIM(LEFT(발주발송관리!T393,FIND(" ",발주발송관리!T393)-1)),0)</f>
        <v>0</v>
      </c>
      <c r="E393" s="16">
        <f>IFERROR(MID(발주발송관리!T393,FIND(" ",발주발송관리!T393)+1,LEN(발주발송관리!T393)-FIND(" ",발주발송관리!T393)+1),0)</f>
        <v>0</v>
      </c>
      <c r="F393" s="16">
        <f>발주발송관리!W393</f>
        <v>0</v>
      </c>
      <c r="G393" s="11">
        <f>발주발송관리!Y393</f>
        <v>0</v>
      </c>
      <c r="H393" s="17">
        <f>발주발송관리!Z393/1.6</f>
        <v>0</v>
      </c>
      <c r="I393" s="10"/>
      <c r="J393" s="10"/>
      <c r="K393" s="11"/>
      <c r="L393" s="11"/>
      <c r="M393" s="16">
        <f>IF(발주발송관리!M393=R393,0,발주발송관리!M393&amp;T393&amp;S393&amp;U393)</f>
        <v>0</v>
      </c>
      <c r="N393" s="16">
        <f>발주발송관리!AZ393</f>
        <v>0</v>
      </c>
      <c r="O393" s="16">
        <f>발주발송관리!AW393</f>
        <v>0</v>
      </c>
      <c r="P393" s="18"/>
      <c r="Q393" s="18">
        <f>발주발송관리!BB393</f>
        <v>0</v>
      </c>
    </row>
    <row r="394" spans="1:17">
      <c r="A394" s="9" t="s">
        <v>295</v>
      </c>
      <c r="B394" s="9" t="s">
        <v>296</v>
      </c>
      <c r="C394" s="16">
        <f t="shared" si="16"/>
        <v>0</v>
      </c>
      <c r="D394" s="16">
        <f>IFERROR(TRIM(LEFT(발주발송관리!T394,FIND(" ",발주발송관리!T394)-1)),0)</f>
        <v>0</v>
      </c>
      <c r="E394" s="16">
        <f>IFERROR(MID(발주발송관리!T394,FIND(" ",발주발송관리!T394)+1,LEN(발주발송관리!T394)-FIND(" ",발주발송관리!T394)+1),0)</f>
        <v>0</v>
      </c>
      <c r="F394" s="16">
        <f>발주발송관리!W394</f>
        <v>0</v>
      </c>
      <c r="G394" s="11">
        <f>발주발송관리!Y394</f>
        <v>0</v>
      </c>
      <c r="H394" s="17">
        <f>발주발송관리!Z394/1.6</f>
        <v>0</v>
      </c>
      <c r="I394" s="10"/>
      <c r="J394" s="10"/>
      <c r="K394" s="11"/>
      <c r="L394" s="11"/>
      <c r="M394" s="16">
        <f>IF(발주발송관리!M394=R394,0,발주발송관리!M394&amp;T394&amp;S394&amp;U394)</f>
        <v>0</v>
      </c>
      <c r="N394" s="16">
        <f>발주발송관리!AZ394</f>
        <v>0</v>
      </c>
      <c r="O394" s="16">
        <f>발주발송관리!AW394</f>
        <v>0</v>
      </c>
      <c r="P394" s="18"/>
      <c r="Q394" s="18">
        <f>발주발송관리!BB394</f>
        <v>0</v>
      </c>
    </row>
    <row r="395" spans="1:17">
      <c r="A395" s="9" t="s">
        <v>295</v>
      </c>
      <c r="B395" s="9" t="s">
        <v>296</v>
      </c>
      <c r="C395" s="16">
        <f t="shared" si="16"/>
        <v>0</v>
      </c>
      <c r="D395" s="16">
        <f>IFERROR(TRIM(LEFT(발주발송관리!T395,FIND(" ",발주발송관리!T395)-1)),0)</f>
        <v>0</v>
      </c>
      <c r="E395" s="16">
        <f>IFERROR(MID(발주발송관리!T395,FIND(" ",발주발송관리!T395)+1,LEN(발주발송관리!T395)-FIND(" ",발주발송관리!T395)+1),0)</f>
        <v>0</v>
      </c>
      <c r="F395" s="16">
        <f>발주발송관리!W395</f>
        <v>0</v>
      </c>
      <c r="G395" s="11">
        <f>발주발송관리!Y395</f>
        <v>0</v>
      </c>
      <c r="H395" s="17">
        <f>발주발송관리!Z395/1.6</f>
        <v>0</v>
      </c>
      <c r="I395" s="10"/>
      <c r="J395" s="10"/>
      <c r="K395" s="11"/>
      <c r="L395" s="11"/>
      <c r="M395" s="16">
        <f>IF(발주발송관리!M395=R395,0,발주발송관리!M395&amp;T395&amp;S395&amp;U395)</f>
        <v>0</v>
      </c>
      <c r="N395" s="16">
        <f>발주발송관리!AZ395</f>
        <v>0</v>
      </c>
      <c r="O395" s="16">
        <f>발주발송관리!AW395</f>
        <v>0</v>
      </c>
      <c r="P395" s="18"/>
      <c r="Q395" s="18">
        <f>발주발송관리!BB395</f>
        <v>0</v>
      </c>
    </row>
    <row r="396" spans="1:17">
      <c r="A396" s="9" t="s">
        <v>295</v>
      </c>
      <c r="B396" s="9" t="s">
        <v>296</v>
      </c>
      <c r="C396" s="16">
        <f t="shared" si="16"/>
        <v>0</v>
      </c>
      <c r="D396" s="16">
        <f>IFERROR(TRIM(LEFT(발주발송관리!T396,FIND(" ",발주발송관리!T396)-1)),0)</f>
        <v>0</v>
      </c>
      <c r="E396" s="16">
        <f>IFERROR(MID(발주발송관리!T396,FIND(" ",발주발송관리!T396)+1,LEN(발주발송관리!T396)-FIND(" ",발주발송관리!T396)+1),0)</f>
        <v>0</v>
      </c>
      <c r="F396" s="16">
        <f>발주발송관리!W396</f>
        <v>0</v>
      </c>
      <c r="G396" s="11">
        <f>발주발송관리!Y396</f>
        <v>0</v>
      </c>
      <c r="H396" s="17">
        <f>발주발송관리!Z396/1.6</f>
        <v>0</v>
      </c>
      <c r="I396" s="10"/>
      <c r="J396" s="10"/>
      <c r="K396" s="11"/>
      <c r="L396" s="11"/>
      <c r="M396" s="16">
        <f>IF(발주발송관리!M396=R396,0,발주발송관리!M396&amp;T396&amp;S396&amp;U396)</f>
        <v>0</v>
      </c>
      <c r="N396" s="16">
        <f>발주발송관리!AZ396</f>
        <v>0</v>
      </c>
      <c r="O396" s="16">
        <f>발주발송관리!AW396</f>
        <v>0</v>
      </c>
      <c r="P396" s="18"/>
      <c r="Q396" s="18">
        <f>발주발송관리!BB396</f>
        <v>0</v>
      </c>
    </row>
    <row r="397" spans="1:17">
      <c r="A397" s="9" t="s">
        <v>295</v>
      </c>
      <c r="B397" s="9" t="s">
        <v>296</v>
      </c>
      <c r="C397" s="16">
        <f t="shared" si="16"/>
        <v>0</v>
      </c>
      <c r="D397" s="16">
        <f>IFERROR(TRIM(LEFT(발주발송관리!T397,FIND(" ",발주발송관리!T397)-1)),0)</f>
        <v>0</v>
      </c>
      <c r="E397" s="16">
        <f>IFERROR(MID(발주발송관리!T397,FIND(" ",발주발송관리!T397)+1,LEN(발주발송관리!T397)-FIND(" ",발주발송관리!T397)+1),0)</f>
        <v>0</v>
      </c>
      <c r="F397" s="16">
        <f>발주발송관리!W397</f>
        <v>0</v>
      </c>
      <c r="G397" s="11">
        <f>발주발송관리!Y397</f>
        <v>0</v>
      </c>
      <c r="H397" s="17">
        <f>발주발송관리!Z397/1.6</f>
        <v>0</v>
      </c>
      <c r="I397" s="10"/>
      <c r="J397" s="10"/>
      <c r="K397" s="11"/>
      <c r="L397" s="11"/>
      <c r="M397" s="16">
        <f>IF(발주발송관리!M397=R397,0,발주발송관리!M397&amp;T397&amp;S397&amp;U397)</f>
        <v>0</v>
      </c>
      <c r="N397" s="16">
        <f>발주발송관리!AZ397</f>
        <v>0</v>
      </c>
      <c r="O397" s="16">
        <f>발주발송관리!AW397</f>
        <v>0</v>
      </c>
      <c r="P397" s="18"/>
      <c r="Q397" s="18">
        <f>발주발송관리!BB397</f>
        <v>0</v>
      </c>
    </row>
    <row r="398" spans="1:17">
      <c r="A398" s="9" t="s">
        <v>295</v>
      </c>
      <c r="B398" s="9" t="s">
        <v>296</v>
      </c>
      <c r="C398" s="16">
        <f t="shared" si="16"/>
        <v>0</v>
      </c>
      <c r="D398" s="16">
        <f>IFERROR(TRIM(LEFT(발주발송관리!T398,FIND(" ",발주발송관리!T398)-1)),0)</f>
        <v>0</v>
      </c>
      <c r="E398" s="16">
        <f>IFERROR(MID(발주발송관리!T398,FIND(" ",발주발송관리!T398)+1,LEN(발주발송관리!T398)-FIND(" ",발주발송관리!T398)+1),0)</f>
        <v>0</v>
      </c>
      <c r="F398" s="16">
        <f>발주발송관리!W398</f>
        <v>0</v>
      </c>
      <c r="G398" s="11">
        <f>발주발송관리!Y398</f>
        <v>0</v>
      </c>
      <c r="H398" s="17">
        <f>발주발송관리!Z398/1.6</f>
        <v>0</v>
      </c>
      <c r="I398" s="10"/>
      <c r="J398" s="10"/>
      <c r="K398" s="11"/>
      <c r="L398" s="11"/>
      <c r="M398" s="16">
        <f>IF(발주발송관리!M398=R398,0,발주발송관리!M398&amp;T398&amp;S398&amp;U398)</f>
        <v>0</v>
      </c>
      <c r="N398" s="16">
        <f>발주발송관리!AZ398</f>
        <v>0</v>
      </c>
      <c r="O398" s="16">
        <f>발주발송관리!AW398</f>
        <v>0</v>
      </c>
      <c r="P398" s="18"/>
      <c r="Q398" s="18">
        <f>발주발송관리!BB398</f>
        <v>0</v>
      </c>
    </row>
    <row r="399" spans="1:17">
      <c r="A399" s="9" t="s">
        <v>295</v>
      </c>
      <c r="B399" s="9" t="s">
        <v>296</v>
      </c>
      <c r="C399" s="16">
        <f t="shared" si="16"/>
        <v>0</v>
      </c>
      <c r="D399" s="16">
        <f>IFERROR(TRIM(LEFT(발주발송관리!T399,FIND(" ",발주발송관리!T399)-1)),0)</f>
        <v>0</v>
      </c>
      <c r="E399" s="16">
        <f>IFERROR(MID(발주발송관리!T399,FIND(" ",발주발송관리!T399)+1,LEN(발주발송관리!T399)-FIND(" ",발주발송관리!T399)+1),0)</f>
        <v>0</v>
      </c>
      <c r="F399" s="16">
        <f>발주발송관리!W399</f>
        <v>0</v>
      </c>
      <c r="G399" s="11">
        <f>발주발송관리!Y399</f>
        <v>0</v>
      </c>
      <c r="H399" s="17">
        <f>발주발송관리!Z399/1.6</f>
        <v>0</v>
      </c>
      <c r="I399" s="10"/>
      <c r="J399" s="10"/>
      <c r="K399" s="11"/>
      <c r="L399" s="11"/>
      <c r="M399" s="16">
        <f>IF(발주발송관리!M399=R399,0,발주발송관리!M399&amp;T399&amp;S399&amp;U399)</f>
        <v>0</v>
      </c>
      <c r="N399" s="16">
        <f>발주발송관리!AZ399</f>
        <v>0</v>
      </c>
      <c r="O399" s="16">
        <f>발주발송관리!AW399</f>
        <v>0</v>
      </c>
      <c r="P399" s="18"/>
      <c r="Q399" s="18">
        <f>발주발송관리!BB399</f>
        <v>0</v>
      </c>
    </row>
    <row r="400" spans="1:17">
      <c r="A400" s="9" t="s">
        <v>295</v>
      </c>
      <c r="B400" s="9" t="s">
        <v>296</v>
      </c>
      <c r="C400" s="16">
        <f t="shared" si="16"/>
        <v>0</v>
      </c>
      <c r="D400" s="16">
        <f>IFERROR(TRIM(LEFT(발주발송관리!T400,FIND(" ",발주발송관리!T400)-1)),0)</f>
        <v>0</v>
      </c>
      <c r="E400" s="16">
        <f>IFERROR(MID(발주발송관리!T400,FIND(" ",발주발송관리!T400)+1,LEN(발주발송관리!T400)-FIND(" ",발주발송관리!T400)+1),0)</f>
        <v>0</v>
      </c>
      <c r="F400" s="16">
        <f>발주발송관리!W400</f>
        <v>0</v>
      </c>
      <c r="G400" s="11">
        <f>발주발송관리!Y400</f>
        <v>0</v>
      </c>
      <c r="H400" s="17">
        <f>발주발송관리!Z400/1.6</f>
        <v>0</v>
      </c>
      <c r="I400" s="10"/>
      <c r="J400" s="10"/>
      <c r="K400" s="11"/>
      <c r="L400" s="11"/>
      <c r="M400" s="16">
        <f>IF(발주발송관리!M400=R400,0,발주발송관리!M400&amp;T400&amp;S400&amp;U400)</f>
        <v>0</v>
      </c>
      <c r="N400" s="16">
        <f>발주발송관리!AZ400</f>
        <v>0</v>
      </c>
      <c r="O400" s="16">
        <f>발주발송관리!AW400</f>
        <v>0</v>
      </c>
      <c r="P400" s="18"/>
      <c r="Q400" s="18">
        <f>발주발송관리!BB400</f>
        <v>0</v>
      </c>
    </row>
    <row r="401" spans="1:17">
      <c r="A401" s="9" t="s">
        <v>295</v>
      </c>
      <c r="B401" s="9" t="s">
        <v>296</v>
      </c>
      <c r="C401" s="16">
        <f t="shared" si="16"/>
        <v>0</v>
      </c>
      <c r="D401" s="16">
        <f>IFERROR(TRIM(LEFT(발주발송관리!T401,FIND(" ",발주발송관리!T401)-1)),0)</f>
        <v>0</v>
      </c>
      <c r="E401" s="16">
        <f>IFERROR(MID(발주발송관리!T401,FIND(" ",발주발송관리!T401)+1,LEN(발주발송관리!T401)-FIND(" ",발주발송관리!T401)+1),0)</f>
        <v>0</v>
      </c>
      <c r="F401" s="16">
        <f>발주발송관리!W401</f>
        <v>0</v>
      </c>
      <c r="G401" s="11">
        <f>발주발송관리!Y401</f>
        <v>0</v>
      </c>
      <c r="H401" s="17">
        <f>발주발송관리!Z401/1.6</f>
        <v>0</v>
      </c>
      <c r="I401" s="10"/>
      <c r="J401" s="10"/>
      <c r="K401" s="11"/>
      <c r="L401" s="11"/>
      <c r="M401" s="16">
        <f>IF(발주발송관리!M401=R401,0,발주발송관리!M401&amp;T401&amp;S401&amp;U401)</f>
        <v>0</v>
      </c>
      <c r="N401" s="16">
        <f>발주발송관리!AZ401</f>
        <v>0</v>
      </c>
      <c r="O401" s="16">
        <f>발주발송관리!AW401</f>
        <v>0</v>
      </c>
      <c r="P401" s="18"/>
      <c r="Q401" s="18">
        <f>발주발송관리!BB401</f>
        <v>0</v>
      </c>
    </row>
    <row r="402" spans="1:17">
      <c r="A402" s="9" t="s">
        <v>295</v>
      </c>
      <c r="B402" s="9" t="s">
        <v>296</v>
      </c>
      <c r="C402" s="16">
        <f t="shared" si="16"/>
        <v>0</v>
      </c>
      <c r="D402" s="16">
        <f>IFERROR(TRIM(LEFT(발주발송관리!T402,FIND(" ",발주발송관리!T402)-1)),0)</f>
        <v>0</v>
      </c>
      <c r="E402" s="16">
        <f>IFERROR(MID(발주발송관리!T402,FIND(" ",발주발송관리!T402)+1,LEN(발주발송관리!T402)-FIND(" ",발주발송관리!T402)+1),0)</f>
        <v>0</v>
      </c>
      <c r="F402" s="16">
        <f>발주발송관리!W402</f>
        <v>0</v>
      </c>
      <c r="G402" s="11">
        <f>발주발송관리!Y402</f>
        <v>0</v>
      </c>
      <c r="H402" s="17">
        <f>발주발송관리!Z402/1.6</f>
        <v>0</v>
      </c>
      <c r="I402" s="10"/>
      <c r="J402" s="10"/>
      <c r="K402" s="11"/>
      <c r="L402" s="11"/>
      <c r="M402" s="16">
        <f>IF(발주발송관리!M402=R402,0,발주발송관리!M402&amp;T402&amp;S402&amp;U402)</f>
        <v>0</v>
      </c>
      <c r="N402" s="16">
        <f>발주발송관리!AZ402</f>
        <v>0</v>
      </c>
      <c r="O402" s="16">
        <f>발주발송관리!AW402</f>
        <v>0</v>
      </c>
      <c r="P402" s="18"/>
      <c r="Q402" s="18">
        <f>발주발송관리!BB402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2"/>
  <sheetViews>
    <sheetView topLeftCell="A91" workbookViewId="0">
      <selection activeCell="K19" sqref="K19"/>
    </sheetView>
  </sheetViews>
  <sheetFormatPr defaultRowHeight="16.5"/>
  <cols>
    <col min="1" max="2" width="9.125" customWidth="1"/>
  </cols>
  <sheetData>
    <row r="1" spans="1:2">
      <c r="A1" s="15" t="s">
        <v>261</v>
      </c>
      <c r="B1" s="14" t="s">
        <v>66</v>
      </c>
    </row>
    <row r="2" spans="1:2">
      <c r="A2" s="15" t="s">
        <v>273</v>
      </c>
      <c r="B2" s="14" t="s">
        <v>67</v>
      </c>
    </row>
    <row r="3" spans="1:2">
      <c r="A3" s="15" t="s">
        <v>274</v>
      </c>
      <c r="B3" s="14" t="s">
        <v>68</v>
      </c>
    </row>
    <row r="4" spans="1:2">
      <c r="A4" s="15" t="s">
        <v>262</v>
      </c>
      <c r="B4" s="14" t="s">
        <v>69</v>
      </c>
    </row>
    <row r="5" spans="1:2">
      <c r="A5" s="15" t="s">
        <v>263</v>
      </c>
      <c r="B5" s="14" t="s">
        <v>70</v>
      </c>
    </row>
    <row r="6" spans="1:2">
      <c r="A6" s="15" t="s">
        <v>264</v>
      </c>
      <c r="B6" s="14" t="s">
        <v>71</v>
      </c>
    </row>
    <row r="7" spans="1:2">
      <c r="A7" s="15" t="s">
        <v>265</v>
      </c>
      <c r="B7" s="14" t="s">
        <v>72</v>
      </c>
    </row>
    <row r="8" spans="1:2">
      <c r="A8" s="14" t="s">
        <v>73</v>
      </c>
      <c r="B8" s="14" t="s">
        <v>73</v>
      </c>
    </row>
    <row r="9" spans="1:2">
      <c r="A9" s="14" t="s">
        <v>74</v>
      </c>
      <c r="B9" s="14" t="s">
        <v>74</v>
      </c>
    </row>
    <row r="10" spans="1:2">
      <c r="A10" s="14" t="s">
        <v>75</v>
      </c>
      <c r="B10" s="14" t="s">
        <v>75</v>
      </c>
    </row>
    <row r="11" spans="1:2">
      <c r="A11" s="14" t="s">
        <v>76</v>
      </c>
      <c r="B11" s="14" t="s">
        <v>76</v>
      </c>
    </row>
    <row r="12" spans="1:2">
      <c r="A12" s="14" t="s">
        <v>77</v>
      </c>
      <c r="B12" s="14" t="s">
        <v>77</v>
      </c>
    </row>
    <row r="13" spans="1:2">
      <c r="A13" s="14" t="s">
        <v>78</v>
      </c>
      <c r="B13" s="14" t="s">
        <v>78</v>
      </c>
    </row>
    <row r="14" spans="1:2">
      <c r="A14" s="14" t="s">
        <v>79</v>
      </c>
      <c r="B14" s="14" t="s">
        <v>79</v>
      </c>
    </row>
    <row r="15" spans="1:2">
      <c r="A15" s="14" t="s">
        <v>80</v>
      </c>
      <c r="B15" s="14" t="s">
        <v>80</v>
      </c>
    </row>
    <row r="16" spans="1:2">
      <c r="A16" s="14" t="s">
        <v>81</v>
      </c>
      <c r="B16" s="14" t="s">
        <v>81</v>
      </c>
    </row>
    <row r="17" spans="1:2">
      <c r="A17" s="14" t="s">
        <v>82</v>
      </c>
      <c r="B17" s="14" t="s">
        <v>82</v>
      </c>
    </row>
    <row r="18" spans="1:2">
      <c r="A18" s="14" t="s">
        <v>83</v>
      </c>
      <c r="B18" s="14" t="s">
        <v>83</v>
      </c>
    </row>
    <row r="19" spans="1:2">
      <c r="A19" s="14" t="s">
        <v>84</v>
      </c>
      <c r="B19" s="14" t="s">
        <v>84</v>
      </c>
    </row>
    <row r="20" spans="1:2">
      <c r="A20" s="14" t="s">
        <v>85</v>
      </c>
      <c r="B20" s="14" t="s">
        <v>85</v>
      </c>
    </row>
    <row r="21" spans="1:2">
      <c r="A21" s="14" t="s">
        <v>86</v>
      </c>
      <c r="B21" s="14" t="s">
        <v>86</v>
      </c>
    </row>
    <row r="22" spans="1:2">
      <c r="A22" s="14" t="s">
        <v>87</v>
      </c>
      <c r="B22" s="14" t="s">
        <v>87</v>
      </c>
    </row>
    <row r="23" spans="1:2">
      <c r="A23" s="14" t="s">
        <v>88</v>
      </c>
      <c r="B23" s="14" t="s">
        <v>88</v>
      </c>
    </row>
    <row r="24" spans="1:2">
      <c r="A24" s="14" t="s">
        <v>89</v>
      </c>
      <c r="B24" s="14" t="s">
        <v>89</v>
      </c>
    </row>
    <row r="25" spans="1:2">
      <c r="A25" s="14" t="s">
        <v>90</v>
      </c>
      <c r="B25" s="14" t="s">
        <v>90</v>
      </c>
    </row>
    <row r="26" spans="1:2">
      <c r="A26" s="14" t="s">
        <v>91</v>
      </c>
      <c r="B26" s="14" t="s">
        <v>91</v>
      </c>
    </row>
    <row r="27" spans="1:2">
      <c r="A27" s="14" t="s">
        <v>92</v>
      </c>
      <c r="B27" s="14" t="s">
        <v>92</v>
      </c>
    </row>
    <row r="28" spans="1:2">
      <c r="A28" s="14" t="s">
        <v>93</v>
      </c>
      <c r="B28" s="14" t="s">
        <v>93</v>
      </c>
    </row>
    <row r="29" spans="1:2">
      <c r="A29" s="14" t="s">
        <v>94</v>
      </c>
      <c r="B29" s="14" t="s">
        <v>94</v>
      </c>
    </row>
    <row r="30" spans="1:2">
      <c r="A30" s="14" t="s">
        <v>70</v>
      </c>
      <c r="B30" s="14" t="s">
        <v>70</v>
      </c>
    </row>
    <row r="31" spans="1:2">
      <c r="A31" s="14" t="s">
        <v>95</v>
      </c>
      <c r="B31" s="14" t="s">
        <v>95</v>
      </c>
    </row>
    <row r="32" spans="1:2">
      <c r="A32" s="14" t="s">
        <v>96</v>
      </c>
      <c r="B32" s="14" t="s">
        <v>96</v>
      </c>
    </row>
    <row r="33" spans="1:2">
      <c r="A33" s="14" t="s">
        <v>97</v>
      </c>
      <c r="B33" s="14" t="s">
        <v>97</v>
      </c>
    </row>
    <row r="34" spans="1:2">
      <c r="A34" s="14" t="s">
        <v>98</v>
      </c>
      <c r="B34" s="14" t="s">
        <v>98</v>
      </c>
    </row>
    <row r="35" spans="1:2">
      <c r="A35" s="14" t="s">
        <v>99</v>
      </c>
      <c r="B35" s="14" t="s">
        <v>99</v>
      </c>
    </row>
    <row r="36" spans="1:2">
      <c r="A36" s="14" t="s">
        <v>100</v>
      </c>
      <c r="B36" s="14" t="s">
        <v>100</v>
      </c>
    </row>
    <row r="37" spans="1:2">
      <c r="A37" s="14" t="s">
        <v>101</v>
      </c>
      <c r="B37" s="14" t="s">
        <v>101</v>
      </c>
    </row>
    <row r="38" spans="1:2">
      <c r="A38" s="14" t="s">
        <v>102</v>
      </c>
      <c r="B38" s="14" t="s">
        <v>102</v>
      </c>
    </row>
    <row r="39" spans="1:2">
      <c r="A39" s="14" t="s">
        <v>103</v>
      </c>
      <c r="B39" s="14" t="s">
        <v>103</v>
      </c>
    </row>
    <row r="40" spans="1:2">
      <c r="A40" s="14" t="s">
        <v>104</v>
      </c>
      <c r="B40" s="14" t="s">
        <v>104</v>
      </c>
    </row>
    <row r="41" spans="1:2">
      <c r="A41" s="14" t="s">
        <v>105</v>
      </c>
      <c r="B41" s="14" t="s">
        <v>105</v>
      </c>
    </row>
    <row r="42" spans="1:2">
      <c r="A42" s="14" t="s">
        <v>106</v>
      </c>
      <c r="B42" s="14" t="s">
        <v>106</v>
      </c>
    </row>
    <row r="43" spans="1:2">
      <c r="A43" s="14" t="s">
        <v>107</v>
      </c>
      <c r="B43" s="14" t="s">
        <v>107</v>
      </c>
    </row>
    <row r="44" spans="1:2">
      <c r="A44" s="14" t="s">
        <v>108</v>
      </c>
      <c r="B44" s="14" t="s">
        <v>108</v>
      </c>
    </row>
    <row r="45" spans="1:2">
      <c r="A45" s="14" t="s">
        <v>109</v>
      </c>
      <c r="B45" s="14" t="s">
        <v>109</v>
      </c>
    </row>
    <row r="46" spans="1:2">
      <c r="A46" s="14" t="s">
        <v>110</v>
      </c>
      <c r="B46" s="14" t="s">
        <v>110</v>
      </c>
    </row>
    <row r="47" spans="1:2">
      <c r="A47" s="14" t="s">
        <v>111</v>
      </c>
      <c r="B47" s="14" t="s">
        <v>111</v>
      </c>
    </row>
    <row r="48" spans="1:2">
      <c r="A48" s="14" t="s">
        <v>112</v>
      </c>
      <c r="B48" s="14" t="s">
        <v>112</v>
      </c>
    </row>
    <row r="49" spans="1:2">
      <c r="A49" s="14" t="s">
        <v>113</v>
      </c>
      <c r="B49" s="14" t="s">
        <v>113</v>
      </c>
    </row>
    <row r="50" spans="1:2">
      <c r="A50" s="14" t="s">
        <v>114</v>
      </c>
      <c r="B50" s="14" t="s">
        <v>114</v>
      </c>
    </row>
    <row r="51" spans="1:2">
      <c r="A51" s="14" t="s">
        <v>115</v>
      </c>
      <c r="B51" s="14" t="s">
        <v>115</v>
      </c>
    </row>
    <row r="52" spans="1:2">
      <c r="A52" s="14" t="s">
        <v>116</v>
      </c>
      <c r="B52" s="14" t="s">
        <v>116</v>
      </c>
    </row>
    <row r="53" spans="1:2">
      <c r="A53" s="14" t="s">
        <v>117</v>
      </c>
      <c r="B53" s="14" t="s">
        <v>117</v>
      </c>
    </row>
    <row r="54" spans="1:2">
      <c r="A54" s="14" t="s">
        <v>118</v>
      </c>
      <c r="B54" s="14" t="s">
        <v>118</v>
      </c>
    </row>
    <row r="55" spans="1:2">
      <c r="A55" s="14" t="s">
        <v>119</v>
      </c>
      <c r="B55" s="14" t="s">
        <v>119</v>
      </c>
    </row>
    <row r="56" spans="1:2">
      <c r="A56" s="14" t="s">
        <v>120</v>
      </c>
      <c r="B56" s="14" t="s">
        <v>120</v>
      </c>
    </row>
    <row r="57" spans="1:2">
      <c r="A57" s="14" t="s">
        <v>121</v>
      </c>
      <c r="B57" s="14" t="s">
        <v>121</v>
      </c>
    </row>
    <row r="58" spans="1:2">
      <c r="A58" s="14" t="s">
        <v>122</v>
      </c>
      <c r="B58" s="14" t="s">
        <v>122</v>
      </c>
    </row>
    <row r="59" spans="1:2">
      <c r="A59" s="14" t="s">
        <v>123</v>
      </c>
      <c r="B59" s="14" t="s">
        <v>123</v>
      </c>
    </row>
    <row r="60" spans="1:2">
      <c r="A60" s="14" t="s">
        <v>124</v>
      </c>
      <c r="B60" s="14" t="s">
        <v>124</v>
      </c>
    </row>
    <row r="61" spans="1:2">
      <c r="A61" s="14" t="s">
        <v>125</v>
      </c>
      <c r="B61" s="14" t="s">
        <v>125</v>
      </c>
    </row>
    <row r="62" spans="1:2">
      <c r="A62" s="14" t="s">
        <v>126</v>
      </c>
      <c r="B62" s="14" t="s">
        <v>126</v>
      </c>
    </row>
    <row r="63" spans="1:2">
      <c r="A63" s="14" t="s">
        <v>127</v>
      </c>
      <c r="B63" s="14" t="s">
        <v>127</v>
      </c>
    </row>
    <row r="64" spans="1:2">
      <c r="A64" s="14" t="s">
        <v>128</v>
      </c>
      <c r="B64" s="14" t="s">
        <v>128</v>
      </c>
    </row>
    <row r="65" spans="1:2">
      <c r="A65" s="14" t="s">
        <v>129</v>
      </c>
      <c r="B65" s="14" t="s">
        <v>129</v>
      </c>
    </row>
    <row r="66" spans="1:2">
      <c r="A66" s="14" t="s">
        <v>130</v>
      </c>
      <c r="B66" s="14" t="s">
        <v>130</v>
      </c>
    </row>
    <row r="67" spans="1:2">
      <c r="A67" s="14" t="s">
        <v>131</v>
      </c>
      <c r="B67" s="14" t="s">
        <v>131</v>
      </c>
    </row>
    <row r="68" spans="1:2">
      <c r="A68" s="14" t="s">
        <v>132</v>
      </c>
      <c r="B68" s="14" t="s">
        <v>132</v>
      </c>
    </row>
    <row r="69" spans="1:2">
      <c r="A69" s="14" t="s">
        <v>133</v>
      </c>
      <c r="B69" s="14" t="s">
        <v>133</v>
      </c>
    </row>
    <row r="70" spans="1:2">
      <c r="A70" s="14" t="s">
        <v>134</v>
      </c>
      <c r="B70" s="14" t="s">
        <v>134</v>
      </c>
    </row>
    <row r="71" spans="1:2">
      <c r="A71" s="14" t="s">
        <v>135</v>
      </c>
      <c r="B71" s="14" t="s">
        <v>135</v>
      </c>
    </row>
    <row r="72" spans="1:2">
      <c r="A72" s="14" t="s">
        <v>136</v>
      </c>
      <c r="B72" s="14" t="s">
        <v>136</v>
      </c>
    </row>
    <row r="73" spans="1:2">
      <c r="A73" s="14" t="s">
        <v>137</v>
      </c>
      <c r="B73" s="14" t="s">
        <v>137</v>
      </c>
    </row>
    <row r="74" spans="1:2">
      <c r="A74" s="14" t="s">
        <v>138</v>
      </c>
      <c r="B74" s="14" t="s">
        <v>138</v>
      </c>
    </row>
    <row r="75" spans="1:2">
      <c r="A75" s="14" t="s">
        <v>139</v>
      </c>
      <c r="B75" s="14" t="s">
        <v>139</v>
      </c>
    </row>
    <row r="76" spans="1:2">
      <c r="A76" s="14" t="s">
        <v>140</v>
      </c>
      <c r="B76" s="14" t="s">
        <v>140</v>
      </c>
    </row>
    <row r="77" spans="1:2">
      <c r="A77" s="14" t="s">
        <v>141</v>
      </c>
      <c r="B77" s="14" t="s">
        <v>141</v>
      </c>
    </row>
    <row r="78" spans="1:2">
      <c r="A78" s="14" t="s">
        <v>142</v>
      </c>
      <c r="B78" s="14" t="s">
        <v>142</v>
      </c>
    </row>
    <row r="79" spans="1:2">
      <c r="A79" s="14" t="s">
        <v>143</v>
      </c>
      <c r="B79" s="14" t="s">
        <v>143</v>
      </c>
    </row>
    <row r="80" spans="1:2">
      <c r="A80" s="14" t="s">
        <v>144</v>
      </c>
      <c r="B80" s="14" t="s">
        <v>144</v>
      </c>
    </row>
    <row r="81" spans="1:2">
      <c r="A81" s="14" t="s">
        <v>145</v>
      </c>
      <c r="B81" s="14" t="s">
        <v>145</v>
      </c>
    </row>
    <row r="82" spans="1:2">
      <c r="A82" s="14" t="s">
        <v>146</v>
      </c>
      <c r="B82" s="14" t="s">
        <v>146</v>
      </c>
    </row>
    <row r="83" spans="1:2">
      <c r="A83" s="14" t="s">
        <v>147</v>
      </c>
      <c r="B83" s="14" t="s">
        <v>147</v>
      </c>
    </row>
    <row r="84" spans="1:2">
      <c r="A84" s="14" t="s">
        <v>148</v>
      </c>
      <c r="B84" s="14" t="s">
        <v>148</v>
      </c>
    </row>
    <row r="85" spans="1:2">
      <c r="A85" s="14" t="s">
        <v>149</v>
      </c>
      <c r="B85" s="14" t="s">
        <v>149</v>
      </c>
    </row>
    <row r="86" spans="1:2">
      <c r="A86" s="14" t="s">
        <v>150</v>
      </c>
      <c r="B86" s="14" t="s">
        <v>150</v>
      </c>
    </row>
    <row r="87" spans="1:2">
      <c r="A87" s="14" t="s">
        <v>151</v>
      </c>
      <c r="B87" s="14" t="s">
        <v>151</v>
      </c>
    </row>
    <row r="88" spans="1:2">
      <c r="A88" s="14" t="s">
        <v>152</v>
      </c>
      <c r="B88" s="14" t="s">
        <v>152</v>
      </c>
    </row>
    <row r="89" spans="1:2">
      <c r="A89" s="14" t="s">
        <v>153</v>
      </c>
      <c r="B89" s="14" t="s">
        <v>153</v>
      </c>
    </row>
    <row r="90" spans="1:2">
      <c r="A90" s="14" t="s">
        <v>154</v>
      </c>
      <c r="B90" s="14" t="s">
        <v>154</v>
      </c>
    </row>
    <row r="91" spans="1:2">
      <c r="A91" s="14" t="s">
        <v>155</v>
      </c>
      <c r="B91" s="14" t="s">
        <v>155</v>
      </c>
    </row>
    <row r="92" spans="1:2">
      <c r="A92" s="14" t="s">
        <v>156</v>
      </c>
      <c r="B92" s="14" t="s">
        <v>156</v>
      </c>
    </row>
    <row r="93" spans="1:2">
      <c r="A93" s="14" t="s">
        <v>157</v>
      </c>
      <c r="B93" s="14" t="s">
        <v>157</v>
      </c>
    </row>
    <row r="94" spans="1:2">
      <c r="A94" s="14" t="s">
        <v>158</v>
      </c>
      <c r="B94" s="14" t="s">
        <v>158</v>
      </c>
    </row>
    <row r="95" spans="1:2">
      <c r="A95" s="14" t="s">
        <v>159</v>
      </c>
      <c r="B95" s="14" t="s">
        <v>159</v>
      </c>
    </row>
    <row r="96" spans="1:2">
      <c r="A96" s="14" t="s">
        <v>160</v>
      </c>
      <c r="B96" s="14" t="s">
        <v>160</v>
      </c>
    </row>
    <row r="97" spans="1:2">
      <c r="A97" s="14" t="s">
        <v>161</v>
      </c>
      <c r="B97" s="14" t="s">
        <v>161</v>
      </c>
    </row>
    <row r="98" spans="1:2">
      <c r="A98" s="14" t="s">
        <v>162</v>
      </c>
      <c r="B98" s="14" t="s">
        <v>162</v>
      </c>
    </row>
    <row r="99" spans="1:2">
      <c r="A99" s="14" t="s">
        <v>163</v>
      </c>
      <c r="B99" s="14" t="s">
        <v>163</v>
      </c>
    </row>
    <row r="100" spans="1:2">
      <c r="A100" s="14" t="s">
        <v>164</v>
      </c>
      <c r="B100" s="14" t="s">
        <v>164</v>
      </c>
    </row>
    <row r="101" spans="1:2">
      <c r="A101" s="14" t="s">
        <v>165</v>
      </c>
      <c r="B101" s="14" t="s">
        <v>165</v>
      </c>
    </row>
    <row r="102" spans="1:2">
      <c r="A102" s="15" t="s">
        <v>266</v>
      </c>
      <c r="B102" s="15" t="s">
        <v>266</v>
      </c>
    </row>
    <row r="103" spans="1:2">
      <c r="A103" s="15" t="s">
        <v>267</v>
      </c>
      <c r="B103" s="15" t="s">
        <v>267</v>
      </c>
    </row>
    <row r="104" spans="1:2">
      <c r="A104" s="15" t="s">
        <v>268</v>
      </c>
      <c r="B104" s="15" t="s">
        <v>268</v>
      </c>
    </row>
    <row r="105" spans="1:2">
      <c r="A105" s="15" t="s">
        <v>269</v>
      </c>
      <c r="B105" s="15" t="s">
        <v>269</v>
      </c>
    </row>
    <row r="106" spans="1:2">
      <c r="A106" s="15" t="s">
        <v>270</v>
      </c>
      <c r="B106" s="15" t="s">
        <v>270</v>
      </c>
    </row>
    <row r="107" spans="1:2">
      <c r="A107" s="14" t="s">
        <v>166</v>
      </c>
      <c r="B107" s="15" t="s">
        <v>271</v>
      </c>
    </row>
    <row r="108" spans="1:2">
      <c r="A108" s="14" t="s">
        <v>167</v>
      </c>
      <c r="B108" s="15" t="s">
        <v>272</v>
      </c>
    </row>
    <row r="109" spans="1:2">
      <c r="A109" s="14" t="s">
        <v>168</v>
      </c>
      <c r="B109" s="14" t="s">
        <v>168</v>
      </c>
    </row>
    <row r="110" spans="1:2">
      <c r="A110" s="14" t="s">
        <v>169</v>
      </c>
      <c r="B110" s="14" t="s">
        <v>169</v>
      </c>
    </row>
    <row r="111" spans="1:2">
      <c r="A111" s="14" t="s">
        <v>170</v>
      </c>
      <c r="B111" s="14" t="s">
        <v>170</v>
      </c>
    </row>
    <row r="112" spans="1:2">
      <c r="A112" s="14" t="s">
        <v>171</v>
      </c>
      <c r="B112" s="14" t="s">
        <v>171</v>
      </c>
    </row>
    <row r="113" spans="1:2">
      <c r="A113" s="14" t="s">
        <v>172</v>
      </c>
      <c r="B113" s="14" t="s">
        <v>172</v>
      </c>
    </row>
    <row r="114" spans="1:2">
      <c r="A114" s="14" t="s">
        <v>173</v>
      </c>
      <c r="B114" s="14" t="s">
        <v>173</v>
      </c>
    </row>
    <row r="115" spans="1:2">
      <c r="A115" s="14" t="s">
        <v>174</v>
      </c>
      <c r="B115" s="14" t="s">
        <v>174</v>
      </c>
    </row>
    <row r="116" spans="1:2">
      <c r="A116" s="14" t="s">
        <v>175</v>
      </c>
      <c r="B116" s="14" t="s">
        <v>175</v>
      </c>
    </row>
    <row r="117" spans="1:2">
      <c r="A117" s="14" t="s">
        <v>176</v>
      </c>
      <c r="B117" s="14" t="s">
        <v>176</v>
      </c>
    </row>
    <row r="118" spans="1:2">
      <c r="A118" s="14" t="s">
        <v>177</v>
      </c>
      <c r="B118" s="14" t="s">
        <v>177</v>
      </c>
    </row>
    <row r="119" spans="1:2">
      <c r="A119" s="14" t="s">
        <v>178</v>
      </c>
      <c r="B119" s="14" t="s">
        <v>178</v>
      </c>
    </row>
    <row r="120" spans="1:2">
      <c r="A120" s="14" t="s">
        <v>179</v>
      </c>
      <c r="B120" s="14" t="s">
        <v>179</v>
      </c>
    </row>
    <row r="121" spans="1:2">
      <c r="A121" s="14" t="s">
        <v>180</v>
      </c>
      <c r="B121" s="14" t="s">
        <v>180</v>
      </c>
    </row>
    <row r="122" spans="1:2">
      <c r="A122" s="14" t="s">
        <v>181</v>
      </c>
      <c r="B122" s="14" t="s">
        <v>181</v>
      </c>
    </row>
    <row r="123" spans="1:2">
      <c r="A123" s="14" t="s">
        <v>182</v>
      </c>
      <c r="B123" s="14" t="s">
        <v>182</v>
      </c>
    </row>
    <row r="124" spans="1:2">
      <c r="A124" s="14" t="s">
        <v>183</v>
      </c>
      <c r="B124" s="14" t="s">
        <v>183</v>
      </c>
    </row>
    <row r="125" spans="1:2">
      <c r="A125" s="14" t="s">
        <v>184</v>
      </c>
      <c r="B125" s="14" t="s">
        <v>184</v>
      </c>
    </row>
    <row r="126" spans="1:2">
      <c r="A126" s="14" t="s">
        <v>185</v>
      </c>
      <c r="B126" s="14" t="s">
        <v>185</v>
      </c>
    </row>
    <row r="127" spans="1:2">
      <c r="A127" s="14" t="s">
        <v>186</v>
      </c>
      <c r="B127" s="14" t="s">
        <v>186</v>
      </c>
    </row>
    <row r="128" spans="1:2">
      <c r="A128" s="14" t="s">
        <v>187</v>
      </c>
      <c r="B128" s="14" t="s">
        <v>187</v>
      </c>
    </row>
    <row r="129" spans="1:2">
      <c r="A129" s="14" t="s">
        <v>188</v>
      </c>
      <c r="B129" s="14" t="s">
        <v>188</v>
      </c>
    </row>
    <row r="130" spans="1:2">
      <c r="A130" s="14" t="s">
        <v>189</v>
      </c>
      <c r="B130" s="14" t="s">
        <v>189</v>
      </c>
    </row>
    <row r="131" spans="1:2">
      <c r="A131" s="14" t="s">
        <v>190</v>
      </c>
      <c r="B131" s="14" t="s">
        <v>190</v>
      </c>
    </row>
    <row r="132" spans="1:2">
      <c r="A132" s="14" t="s">
        <v>191</v>
      </c>
      <c r="B132" s="14" t="s">
        <v>191</v>
      </c>
    </row>
    <row r="133" spans="1:2">
      <c r="A133" s="14" t="s">
        <v>192</v>
      </c>
      <c r="B133" s="14" t="s">
        <v>192</v>
      </c>
    </row>
    <row r="134" spans="1:2">
      <c r="A134" s="14" t="s">
        <v>193</v>
      </c>
      <c r="B134" s="14" t="s">
        <v>193</v>
      </c>
    </row>
    <row r="135" spans="1:2">
      <c r="A135" s="14" t="s">
        <v>194</v>
      </c>
      <c r="B135" s="14" t="s">
        <v>194</v>
      </c>
    </row>
    <row r="136" spans="1:2">
      <c r="A136" s="14" t="s">
        <v>195</v>
      </c>
      <c r="B136" s="14" t="s">
        <v>195</v>
      </c>
    </row>
    <row r="137" spans="1:2">
      <c r="A137" s="14" t="s">
        <v>196</v>
      </c>
      <c r="B137" s="14" t="s">
        <v>196</v>
      </c>
    </row>
    <row r="138" spans="1:2">
      <c r="A138" s="14" t="s">
        <v>197</v>
      </c>
      <c r="B138" s="14" t="s">
        <v>197</v>
      </c>
    </row>
    <row r="139" spans="1:2">
      <c r="A139" s="14" t="s">
        <v>198</v>
      </c>
      <c r="B139" s="14" t="s">
        <v>198</v>
      </c>
    </row>
    <row r="140" spans="1:2">
      <c r="A140" s="14" t="s">
        <v>199</v>
      </c>
      <c r="B140" s="14" t="s">
        <v>199</v>
      </c>
    </row>
    <row r="141" spans="1:2">
      <c r="A141" s="14" t="s">
        <v>200</v>
      </c>
      <c r="B141" s="14" t="s">
        <v>200</v>
      </c>
    </row>
    <row r="142" spans="1:2">
      <c r="A142" s="14" t="s">
        <v>201</v>
      </c>
      <c r="B142" s="14" t="s">
        <v>201</v>
      </c>
    </row>
    <row r="143" spans="1:2">
      <c r="A143" s="14" t="s">
        <v>202</v>
      </c>
      <c r="B143" s="14" t="s">
        <v>202</v>
      </c>
    </row>
    <row r="144" spans="1:2">
      <c r="A144" s="14" t="s">
        <v>203</v>
      </c>
      <c r="B144" s="14" t="s">
        <v>203</v>
      </c>
    </row>
    <row r="145" spans="1:2">
      <c r="A145" s="14" t="s">
        <v>204</v>
      </c>
      <c r="B145" s="14" t="s">
        <v>204</v>
      </c>
    </row>
    <row r="146" spans="1:2">
      <c r="A146" s="14" t="s">
        <v>205</v>
      </c>
      <c r="B146" s="14" t="s">
        <v>205</v>
      </c>
    </row>
    <row r="147" spans="1:2">
      <c r="A147" s="14" t="s">
        <v>206</v>
      </c>
      <c r="B147" s="14" t="s">
        <v>206</v>
      </c>
    </row>
    <row r="148" spans="1:2">
      <c r="A148" s="14" t="s">
        <v>207</v>
      </c>
      <c r="B148" s="14" t="s">
        <v>207</v>
      </c>
    </row>
    <row r="149" spans="1:2">
      <c r="A149" s="14" t="s">
        <v>208</v>
      </c>
      <c r="B149" s="14" t="s">
        <v>208</v>
      </c>
    </row>
    <row r="150" spans="1:2">
      <c r="A150" s="14" t="s">
        <v>209</v>
      </c>
      <c r="B150" s="14" t="s">
        <v>209</v>
      </c>
    </row>
    <row r="151" spans="1:2">
      <c r="A151" s="14" t="s">
        <v>210</v>
      </c>
      <c r="B151" s="14" t="s">
        <v>210</v>
      </c>
    </row>
    <row r="152" spans="1:2">
      <c r="A152" s="14" t="s">
        <v>211</v>
      </c>
      <c r="B152" s="14" t="s">
        <v>211</v>
      </c>
    </row>
    <row r="153" spans="1:2">
      <c r="A153" s="14" t="s">
        <v>212</v>
      </c>
      <c r="B153" s="14" t="s">
        <v>212</v>
      </c>
    </row>
    <row r="154" spans="1:2">
      <c r="A154" s="14" t="s">
        <v>213</v>
      </c>
      <c r="B154" s="14" t="s">
        <v>213</v>
      </c>
    </row>
    <row r="155" spans="1:2">
      <c r="A155" s="14" t="s">
        <v>214</v>
      </c>
      <c r="B155" s="14" t="s">
        <v>214</v>
      </c>
    </row>
    <row r="156" spans="1:2">
      <c r="A156" s="14" t="s">
        <v>215</v>
      </c>
      <c r="B156" s="14" t="s">
        <v>215</v>
      </c>
    </row>
    <row r="157" spans="1:2">
      <c r="A157" s="14" t="s">
        <v>216</v>
      </c>
      <c r="B157" s="14" t="s">
        <v>216</v>
      </c>
    </row>
    <row r="158" spans="1:2">
      <c r="A158" s="14" t="s">
        <v>217</v>
      </c>
      <c r="B158" s="14" t="s">
        <v>217</v>
      </c>
    </row>
    <row r="159" spans="1:2">
      <c r="A159" s="14" t="s">
        <v>218</v>
      </c>
      <c r="B159" s="14" t="s">
        <v>218</v>
      </c>
    </row>
    <row r="160" spans="1:2">
      <c r="A160" s="14" t="s">
        <v>219</v>
      </c>
      <c r="B160" s="14" t="s">
        <v>219</v>
      </c>
    </row>
    <row r="161" spans="1:2">
      <c r="A161" s="14" t="s">
        <v>220</v>
      </c>
      <c r="B161" s="14" t="s">
        <v>220</v>
      </c>
    </row>
    <row r="162" spans="1:2">
      <c r="A162" s="14" t="s">
        <v>221</v>
      </c>
      <c r="B162" s="14" t="s">
        <v>221</v>
      </c>
    </row>
    <row r="163" spans="1:2">
      <c r="A163" s="14" t="s">
        <v>222</v>
      </c>
      <c r="B163" s="14" t="s">
        <v>222</v>
      </c>
    </row>
    <row r="164" spans="1:2">
      <c r="A164" s="14" t="s">
        <v>223</v>
      </c>
      <c r="B164" s="14" t="s">
        <v>223</v>
      </c>
    </row>
    <row r="165" spans="1:2">
      <c r="A165" s="14" t="s">
        <v>224</v>
      </c>
      <c r="B165" s="14" t="s">
        <v>224</v>
      </c>
    </row>
    <row r="166" spans="1:2">
      <c r="A166" s="14" t="s">
        <v>225</v>
      </c>
      <c r="B166" s="14" t="s">
        <v>225</v>
      </c>
    </row>
    <row r="167" spans="1:2">
      <c r="A167" s="14" t="s">
        <v>226</v>
      </c>
      <c r="B167" s="14" t="s">
        <v>226</v>
      </c>
    </row>
    <row r="168" spans="1:2">
      <c r="A168" s="14" t="s">
        <v>227</v>
      </c>
      <c r="B168" s="14" t="s">
        <v>227</v>
      </c>
    </row>
    <row r="169" spans="1:2">
      <c r="A169" s="14" t="s">
        <v>228</v>
      </c>
      <c r="B169" s="14" t="s">
        <v>228</v>
      </c>
    </row>
    <row r="170" spans="1:2">
      <c r="A170" s="14" t="s">
        <v>229</v>
      </c>
      <c r="B170" s="14" t="s">
        <v>229</v>
      </c>
    </row>
    <row r="171" spans="1:2">
      <c r="A171" s="14" t="s">
        <v>230</v>
      </c>
      <c r="B171" s="14" t="s">
        <v>230</v>
      </c>
    </row>
    <row r="172" spans="1:2">
      <c r="A172" s="14" t="s">
        <v>231</v>
      </c>
      <c r="B172" s="14" t="s">
        <v>231</v>
      </c>
    </row>
    <row r="173" spans="1:2">
      <c r="A173" s="14" t="s">
        <v>232</v>
      </c>
      <c r="B173" s="14" t="s">
        <v>232</v>
      </c>
    </row>
    <row r="174" spans="1:2">
      <c r="A174" s="14" t="s">
        <v>233</v>
      </c>
      <c r="B174" s="14" t="s">
        <v>233</v>
      </c>
    </row>
    <row r="175" spans="1:2">
      <c r="A175" s="14" t="s">
        <v>234</v>
      </c>
      <c r="B175" s="14" t="s">
        <v>234</v>
      </c>
    </row>
    <row r="176" spans="1:2">
      <c r="A176" s="14" t="s">
        <v>235</v>
      </c>
      <c r="B176" s="14" t="s">
        <v>235</v>
      </c>
    </row>
    <row r="177" spans="1:2">
      <c r="A177" s="14" t="s">
        <v>236</v>
      </c>
      <c r="B177" s="14" t="s">
        <v>236</v>
      </c>
    </row>
    <row r="178" spans="1:2">
      <c r="A178" s="14" t="s">
        <v>237</v>
      </c>
      <c r="B178" s="14" t="s">
        <v>237</v>
      </c>
    </row>
    <row r="179" spans="1:2">
      <c r="A179" s="14" t="s">
        <v>238</v>
      </c>
      <c r="B179" s="14" t="s">
        <v>238</v>
      </c>
    </row>
    <row r="180" spans="1:2">
      <c r="A180" s="14" t="s">
        <v>239</v>
      </c>
      <c r="B180" s="14" t="s">
        <v>239</v>
      </c>
    </row>
    <row r="181" spans="1:2">
      <c r="A181" s="14" t="s">
        <v>240</v>
      </c>
      <c r="B181" s="14" t="s">
        <v>240</v>
      </c>
    </row>
    <row r="182" spans="1:2">
      <c r="A182" s="14" t="s">
        <v>241</v>
      </c>
      <c r="B182" s="14" t="s">
        <v>241</v>
      </c>
    </row>
    <row r="183" spans="1:2">
      <c r="A183" s="14" t="s">
        <v>242</v>
      </c>
      <c r="B183" s="14" t="s">
        <v>242</v>
      </c>
    </row>
    <row r="184" spans="1:2">
      <c r="A184" s="14" t="s">
        <v>243</v>
      </c>
      <c r="B184" s="14" t="s">
        <v>243</v>
      </c>
    </row>
    <row r="185" spans="1:2">
      <c r="A185" s="14" t="s">
        <v>244</v>
      </c>
      <c r="B185" s="14" t="s">
        <v>244</v>
      </c>
    </row>
    <row r="186" spans="1:2">
      <c r="A186" s="14" t="s">
        <v>245</v>
      </c>
      <c r="B186" s="14" t="s">
        <v>245</v>
      </c>
    </row>
    <row r="187" spans="1:2">
      <c r="A187" s="14" t="s">
        <v>246</v>
      </c>
      <c r="B187" s="14" t="s">
        <v>246</v>
      </c>
    </row>
    <row r="188" spans="1:2">
      <c r="A188" s="14" t="s">
        <v>247</v>
      </c>
      <c r="B188" s="14" t="s">
        <v>247</v>
      </c>
    </row>
    <row r="189" spans="1:2">
      <c r="A189" s="14" t="s">
        <v>248</v>
      </c>
      <c r="B189" s="14" t="s">
        <v>248</v>
      </c>
    </row>
    <row r="190" spans="1:2">
      <c r="A190" s="14" t="s">
        <v>249</v>
      </c>
      <c r="B190" s="14" t="s">
        <v>249</v>
      </c>
    </row>
    <row r="191" spans="1:2">
      <c r="A191" s="14" t="s">
        <v>250</v>
      </c>
      <c r="B191" s="14" t="s">
        <v>250</v>
      </c>
    </row>
    <row r="192" spans="1:2">
      <c r="A192" s="14" t="s">
        <v>251</v>
      </c>
      <c r="B192" s="14" t="s">
        <v>251</v>
      </c>
    </row>
    <row r="193" spans="1:2">
      <c r="A193" s="14" t="s">
        <v>252</v>
      </c>
      <c r="B193" s="14" t="s">
        <v>252</v>
      </c>
    </row>
    <row r="194" spans="1:2">
      <c r="A194" s="14" t="s">
        <v>253</v>
      </c>
      <c r="B194" s="14" t="s">
        <v>253</v>
      </c>
    </row>
    <row r="195" spans="1:2">
      <c r="A195" s="14" t="s">
        <v>254</v>
      </c>
      <c r="B195" s="14" t="s">
        <v>254</v>
      </c>
    </row>
    <row r="196" spans="1:2">
      <c r="A196" s="14" t="s">
        <v>117</v>
      </c>
      <c r="B196" s="14" t="s">
        <v>117</v>
      </c>
    </row>
    <row r="197" spans="1:2">
      <c r="A197" s="14" t="s">
        <v>255</v>
      </c>
      <c r="B197" s="14" t="s">
        <v>255</v>
      </c>
    </row>
    <row r="198" spans="1:2">
      <c r="A198" s="14" t="s">
        <v>256</v>
      </c>
      <c r="B198" s="14" t="s">
        <v>256</v>
      </c>
    </row>
    <row r="199" spans="1:2">
      <c r="A199" s="14" t="s">
        <v>257</v>
      </c>
      <c r="B199" s="14" t="s">
        <v>257</v>
      </c>
    </row>
    <row r="200" spans="1:2">
      <c r="A200" s="14" t="s">
        <v>258</v>
      </c>
      <c r="B200" s="14" t="s">
        <v>258</v>
      </c>
    </row>
    <row r="201" spans="1:2">
      <c r="A201" s="14" t="s">
        <v>259</v>
      </c>
      <c r="B201" s="14" t="s">
        <v>259</v>
      </c>
    </row>
    <row r="202" spans="1:2">
      <c r="A202" s="14" t="s">
        <v>260</v>
      </c>
      <c r="B202" s="14" t="s">
        <v>260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발주발송관리</vt:lpstr>
      <vt:lpstr>발주서</vt:lpstr>
      <vt:lpstr>지역명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2021-08-24T23:31:16Z</dcterms:created>
  <dcterms:modified xsi:type="dcterms:W3CDTF">2026-01-12T11:33:16Z</dcterms:modified>
</cp:coreProperties>
</file>